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fileSharing readOnlyRecommended="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J062504\Desktop\成果物\202412\generate_API_yaml\"/>
    </mc:Choice>
  </mc:AlternateContent>
  <xr:revisionPtr revIDLastSave="0" documentId="8_{9CAAF383-7C8B-4B5B-A9B0-D6A567CC5D1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API Managing Sheet" sheetId="14" r:id="rId1"/>
    <sheet name="Container Service" sheetId="13" r:id="rId2"/>
    <sheet name="Config" sheetId="4" r:id="rId3"/>
    <sheet name="URL部分重複チェック" sheetId="15" r:id="rId4"/>
  </sheets>
  <definedNames>
    <definedName name="_xlnm._FilterDatabase" localSheetId="0" hidden="1">'API Managing Sheet'!$A$8:$CG$18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C16" i="14" l="1"/>
  <c r="CA16" i="14"/>
  <c r="BY16" i="14"/>
  <c r="BW16" i="14"/>
  <c r="BO16" i="14"/>
  <c r="BN16" i="14"/>
  <c r="BM16" i="14"/>
  <c r="BL16" i="14"/>
  <c r="BI16" i="14"/>
  <c r="BH16" i="14"/>
  <c r="BF16" i="14"/>
  <c r="AB16" i="14"/>
  <c r="Z16" i="14"/>
  <c r="Y16" i="14"/>
  <c r="X16" i="14"/>
  <c r="W16" i="14"/>
  <c r="V16" i="14"/>
  <c r="U16" i="14"/>
  <c r="P16" i="14"/>
  <c r="O16" i="14"/>
  <c r="D16" i="14"/>
  <c r="R16" i="14" s="1"/>
  <c r="CC17" i="14"/>
  <c r="CA17" i="14"/>
  <c r="BY17" i="14"/>
  <c r="BW17" i="14"/>
  <c r="BO17" i="14"/>
  <c r="BN17" i="14"/>
  <c r="BM17" i="14"/>
  <c r="BL17" i="14"/>
  <c r="BI17" i="14"/>
  <c r="BH17" i="14"/>
  <c r="BF17" i="14"/>
  <c r="AB17" i="14"/>
  <c r="Z17" i="14"/>
  <c r="Y17" i="14"/>
  <c r="X17" i="14"/>
  <c r="W17" i="14"/>
  <c r="V17" i="14"/>
  <c r="U17" i="14"/>
  <c r="R17" i="14"/>
  <c r="P17" i="14"/>
  <c r="O17" i="14"/>
  <c r="D17" i="14"/>
  <c r="CB17" i="14" s="1"/>
  <c r="CC14" i="14"/>
  <c r="CA14" i="14"/>
  <c r="BY14" i="14"/>
  <c r="BW14" i="14"/>
  <c r="BO14" i="14"/>
  <c r="BN14" i="14"/>
  <c r="BM14" i="14"/>
  <c r="BL14" i="14"/>
  <c r="BI14" i="14"/>
  <c r="BH14" i="14"/>
  <c r="BF14" i="14"/>
  <c r="AB14" i="14"/>
  <c r="Z14" i="14"/>
  <c r="Y14" i="14"/>
  <c r="X14" i="14"/>
  <c r="W14" i="14"/>
  <c r="V14" i="14"/>
  <c r="U14" i="14"/>
  <c r="P14" i="14"/>
  <c r="O14" i="14"/>
  <c r="D14" i="14"/>
  <c r="S14" i="14" s="1"/>
  <c r="CD18" i="14"/>
  <c r="CC18" i="14"/>
  <c r="CB18" i="14"/>
  <c r="CA18" i="14"/>
  <c r="BZ18" i="14"/>
  <c r="BY18" i="14"/>
  <c r="BX18" i="14"/>
  <c r="BW18" i="14"/>
  <c r="BO18" i="14"/>
  <c r="BN18" i="14"/>
  <c r="BM18" i="14"/>
  <c r="BL18" i="14"/>
  <c r="BK18" i="14"/>
  <c r="BJ18" i="14"/>
  <c r="BI18" i="14"/>
  <c r="BH18" i="14"/>
  <c r="BG18" i="14"/>
  <c r="BF18" i="14"/>
  <c r="AB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K18" i="14"/>
  <c r="D18" i="14"/>
  <c r="CC15" i="14"/>
  <c r="CA15" i="14"/>
  <c r="BY15" i="14"/>
  <c r="BW15" i="14"/>
  <c r="BO15" i="14"/>
  <c r="BN15" i="14"/>
  <c r="BM15" i="14"/>
  <c r="BL15" i="14"/>
  <c r="BI15" i="14"/>
  <c r="BH15" i="14"/>
  <c r="BF15" i="14"/>
  <c r="AB15" i="14"/>
  <c r="Z15" i="14"/>
  <c r="Y15" i="14"/>
  <c r="X15" i="14"/>
  <c r="W15" i="14"/>
  <c r="V15" i="14"/>
  <c r="U15" i="14"/>
  <c r="P15" i="14"/>
  <c r="O15" i="14"/>
  <c r="D15" i="14"/>
  <c r="T15" i="14" s="1"/>
  <c r="CC12" i="14"/>
  <c r="CA12" i="14"/>
  <c r="BY12" i="14"/>
  <c r="BW12" i="14"/>
  <c r="BO12" i="14"/>
  <c r="BN12" i="14"/>
  <c r="BM12" i="14"/>
  <c r="BL12" i="14"/>
  <c r="BI12" i="14"/>
  <c r="BH12" i="14"/>
  <c r="BF12" i="14"/>
  <c r="AB12" i="14"/>
  <c r="Z12" i="14"/>
  <c r="Y12" i="14"/>
  <c r="X12" i="14"/>
  <c r="W12" i="14"/>
  <c r="V12" i="14"/>
  <c r="U12" i="14"/>
  <c r="P12" i="14"/>
  <c r="O12" i="14"/>
  <c r="D12" i="14"/>
  <c r="T12" i="14" s="1"/>
  <c r="S16" i="14" l="1"/>
  <c r="T16" i="14"/>
  <c r="BX16" i="14"/>
  <c r="CD17" i="14"/>
  <c r="CB16" i="14"/>
  <c r="CD16" i="14"/>
  <c r="T17" i="14"/>
  <c r="Q16" i="14"/>
  <c r="BZ16" i="14"/>
  <c r="BX17" i="14"/>
  <c r="Q17" i="14"/>
  <c r="BZ17" i="14"/>
  <c r="S17" i="14"/>
  <c r="BX15" i="14"/>
  <c r="BX14" i="14"/>
  <c r="CB14" i="14"/>
  <c r="BZ15" i="14"/>
  <c r="CB12" i="14"/>
  <c r="BZ14" i="14"/>
  <c r="CD12" i="14"/>
  <c r="CB15" i="14"/>
  <c r="CD14" i="14"/>
  <c r="Q15" i="14"/>
  <c r="CD15" i="14"/>
  <c r="R15" i="14"/>
  <c r="T14" i="14"/>
  <c r="BX12" i="14"/>
  <c r="S15" i="14"/>
  <c r="BZ12" i="14"/>
  <c r="Q14" i="14"/>
  <c r="R14" i="14"/>
  <c r="Q12" i="14"/>
  <c r="R12" i="14"/>
  <c r="S12" i="14"/>
  <c r="CC11" i="14" l="1"/>
  <c r="CA11" i="14"/>
  <c r="BY11" i="14"/>
  <c r="BW11" i="14"/>
  <c r="BO11" i="14"/>
  <c r="BN11" i="14"/>
  <c r="BM11" i="14"/>
  <c r="BL11" i="14"/>
  <c r="BI11" i="14"/>
  <c r="BH11" i="14"/>
  <c r="BF11" i="14"/>
  <c r="AB11" i="14"/>
  <c r="Z11" i="14"/>
  <c r="Y11" i="14"/>
  <c r="X11" i="14"/>
  <c r="W11" i="14"/>
  <c r="V11" i="14"/>
  <c r="U11" i="14"/>
  <c r="P11" i="14"/>
  <c r="O11" i="14"/>
  <c r="D11" i="14"/>
  <c r="R11" i="14" s="1"/>
  <c r="CC10" i="14"/>
  <c r="CA10" i="14"/>
  <c r="BY10" i="14"/>
  <c r="BW10" i="14"/>
  <c r="BO10" i="14"/>
  <c r="BN10" i="14"/>
  <c r="BM10" i="14"/>
  <c r="BL10" i="14"/>
  <c r="BI10" i="14"/>
  <c r="BH10" i="14"/>
  <c r="BF10" i="14"/>
  <c r="AB10" i="14"/>
  <c r="Z10" i="14"/>
  <c r="Y10" i="14"/>
  <c r="X10" i="14"/>
  <c r="W10" i="14"/>
  <c r="V10" i="14"/>
  <c r="U10" i="14"/>
  <c r="P10" i="14"/>
  <c r="O10" i="14"/>
  <c r="D10" i="14"/>
  <c r="BX10" i="14" s="1"/>
  <c r="D9" i="14"/>
  <c r="Q9" i="14" s="1"/>
  <c r="V9" i="14"/>
  <c r="V13" i="14"/>
  <c r="U9" i="14"/>
  <c r="U13" i="14"/>
  <c r="D13" i="14"/>
  <c r="T13" i="14" s="1"/>
  <c r="CC13" i="14"/>
  <c r="CA13" i="14"/>
  <c r="BY13" i="14"/>
  <c r="BW13" i="14"/>
  <c r="BO13" i="14"/>
  <c r="BN13" i="14"/>
  <c r="BM13" i="14"/>
  <c r="BL13" i="14"/>
  <c r="BI13" i="14"/>
  <c r="BH13" i="14"/>
  <c r="BF13" i="14"/>
  <c r="AB13" i="14"/>
  <c r="Z13" i="14"/>
  <c r="Y13" i="14"/>
  <c r="X13" i="14"/>
  <c r="W13" i="14"/>
  <c r="P13" i="14"/>
  <c r="O13" i="14"/>
  <c r="CC9" i="14"/>
  <c r="CA9" i="14"/>
  <c r="BY9" i="14"/>
  <c r="BW9" i="14"/>
  <c r="BO9" i="14"/>
  <c r="BN9" i="14"/>
  <c r="BM9" i="14"/>
  <c r="BL9" i="14"/>
  <c r="BI9" i="14"/>
  <c r="BH9" i="14"/>
  <c r="BF9" i="14"/>
  <c r="AB9" i="14"/>
  <c r="Z9" i="14"/>
  <c r="Y9" i="14"/>
  <c r="X9" i="14"/>
  <c r="W9" i="14"/>
  <c r="P9" i="14"/>
  <c r="O9" i="14"/>
  <c r="CB13" i="14" l="1"/>
  <c r="CD13" i="14"/>
  <c r="BX13" i="14"/>
  <c r="BZ13" i="14"/>
  <c r="Q13" i="14"/>
  <c r="R13" i="14"/>
  <c r="S13" i="14"/>
  <c r="CD10" i="14"/>
  <c r="S11" i="14"/>
  <c r="CB11" i="14"/>
  <c r="Q10" i="14"/>
  <c r="BZ10" i="14"/>
  <c r="T11" i="14"/>
  <c r="R10" i="14"/>
  <c r="CD11" i="14"/>
  <c r="S10" i="14"/>
  <c r="CB10" i="14"/>
  <c r="T10" i="14"/>
  <c r="BX11" i="14"/>
  <c r="Q11" i="14"/>
  <c r="BZ11" i="14"/>
  <c r="BX9" i="14"/>
  <c r="S9" i="14"/>
  <c r="CB9" i="14"/>
  <c r="R9" i="14"/>
  <c r="T9" i="14"/>
  <c r="BZ9" i="14"/>
  <c r="CD9" i="14"/>
  <c r="BJ16" i="14" l="1"/>
  <c r="BJ17" i="14"/>
  <c r="BJ12" i="14"/>
  <c r="BJ14" i="14"/>
  <c r="BJ15" i="14"/>
  <c r="BJ13" i="14"/>
  <c r="BJ11" i="14"/>
  <c r="BJ10" i="14"/>
  <c r="BJ9" i="14"/>
  <c r="BK16" i="14" l="1"/>
  <c r="K16" i="14" s="1"/>
  <c r="BK17" i="14"/>
  <c r="BG17" i="14" s="1"/>
  <c r="BK13" i="14"/>
  <c r="BG13" i="14" s="1"/>
  <c r="BK15" i="14"/>
  <c r="K15" i="14" s="1"/>
  <c r="BK14" i="14"/>
  <c r="BG14" i="14" s="1"/>
  <c r="BK12" i="14"/>
  <c r="BG12" i="14" s="1"/>
  <c r="BK10" i="14"/>
  <c r="K10" i="14" s="1"/>
  <c r="BK11" i="14"/>
  <c r="BG11" i="14" s="1"/>
  <c r="BK9" i="14"/>
  <c r="BG9" i="14" s="1"/>
  <c r="K17" i="14" l="1"/>
  <c r="BG16" i="14"/>
  <c r="K12" i="14"/>
  <c r="K14" i="14"/>
  <c r="BG15" i="14"/>
  <c r="K13" i="14"/>
  <c r="K11" i="14"/>
  <c r="BG10" i="14"/>
  <c r="K9" i="14"/>
  <c r="A2" i="15" l="1" a="1"/>
  <c r="A2" i="15" s="1"/>
  <c r="BM1101" i="15" s="1"/>
  <c r="BN1101" i="15" s="1"/>
  <c r="BM1083" i="15" s="1"/>
  <c r="BM1074" i="15" s="1"/>
  <c r="BM1073" i="15" s="1"/>
  <c r="BN1073" i="15" s="1"/>
  <c r="BM1071" i="15" s="1"/>
  <c r="BM1070" i="15" s="1"/>
  <c r="BN1070" i="15" s="1"/>
  <c r="BM1069" i="15" s="1"/>
  <c r="BN1069" i="15" s="1"/>
  <c r="BM1068" i="15" s="1"/>
  <c r="BN1068" i="15" s="1"/>
  <c r="BM1067" i="15" s="1"/>
  <c r="BN1067" i="15" s="1"/>
  <c r="BM1066" i="15" s="1"/>
  <c r="BN1066" i="15" s="1"/>
  <c r="BM1065" i="15" s="1"/>
  <c r="BN1065" i="15" s="1"/>
  <c r="BM1064" i="15" s="1"/>
  <c r="BN1064" i="15" s="1"/>
  <c r="BM1063" i="15" s="1"/>
  <c r="BN1063" i="15" s="1"/>
  <c r="BM1062" i="15" s="1"/>
  <c r="BN1062" i="15" s="1"/>
  <c r="BM1061" i="15" s="1"/>
  <c r="BN1061" i="15" s="1"/>
  <c r="BM1060" i="15" s="1"/>
  <c r="BN1060" i="15" s="1"/>
  <c r="BM1059" i="15" s="1"/>
  <c r="BN1059" i="15" s="1"/>
  <c r="BM1058" i="15" s="1"/>
  <c r="BN1058" i="15" s="1"/>
  <c r="BM1057" i="15" s="1"/>
  <c r="BN1057" i="15" s="1"/>
  <c r="BM1056" i="15" s="1"/>
  <c r="BN1056" i="15" s="1"/>
  <c r="BM1055" i="15" s="1"/>
  <c r="BN1055" i="15" s="1"/>
  <c r="BM1054" i="15" s="1"/>
  <c r="BN1054" i="15" s="1"/>
  <c r="BM1053" i="15" s="1"/>
  <c r="BN1053" i="15" s="1"/>
  <c r="BM1052" i="15" s="1"/>
  <c r="BN1052" i="15" s="1"/>
  <c r="BM1051" i="15" s="1"/>
  <c r="BN1051" i="15" s="1"/>
  <c r="BM1050" i="15" s="1"/>
  <c r="BN1050" i="15" s="1"/>
  <c r="BM1049" i="15" s="1"/>
  <c r="BN1049" i="15" s="1"/>
  <c r="BM1048" i="15" s="1"/>
  <c r="BN1048" i="15" s="1"/>
  <c r="BM1047" i="15" s="1"/>
  <c r="BN1047" i="15" s="1"/>
  <c r="BM1046" i="15" s="1"/>
  <c r="BN1046" i="15" s="1"/>
  <c r="BM1045" i="15" s="1"/>
  <c r="BM1043" i="15" s="1"/>
  <c r="BM1042" i="15" s="1"/>
  <c r="BN1042" i="15" s="1"/>
  <c r="BM1041" i="15" s="1"/>
  <c r="BN1041" i="15" s="1"/>
  <c r="BM1040" i="15" s="1"/>
  <c r="BN1040" i="15" s="1"/>
  <c r="BM1039" i="15" s="1"/>
  <c r="BN1039" i="15" s="1"/>
  <c r="BM1038" i="15" s="1"/>
  <c r="BN1038" i="15" s="1"/>
  <c r="BM1037" i="15" s="1"/>
  <c r="BM1035" i="15" s="1"/>
  <c r="BM1033" i="15" s="1"/>
  <c r="BM1032" i="15" s="1"/>
  <c r="BN1032" i="15" s="1"/>
  <c r="BM1031" i="15" s="1"/>
  <c r="BN1031" i="15" s="1"/>
  <c r="BM1030" i="15" s="1"/>
  <c r="BN1030" i="15" s="1"/>
  <c r="BM1022" i="15" s="1"/>
  <c r="BM1020" i="15" s="1"/>
  <c r="BM1019" i="15" s="1"/>
  <c r="BN1019" i="15" s="1"/>
  <c r="BM1017" i="15" s="1"/>
  <c r="BM1016" i="15" s="1"/>
  <c r="BM1008" i="15" s="1"/>
  <c r="BM1007" i="15" s="1"/>
  <c r="BN1007" i="15" s="1"/>
  <c r="BM1006" i="15" s="1"/>
  <c r="BN1006" i="15" s="1"/>
  <c r="BM1005" i="15" s="1"/>
  <c r="BM991" i="15" s="1"/>
  <c r="BM989" i="15" s="1"/>
  <c r="BM988" i="15" s="1"/>
  <c r="BN988" i="15" s="1"/>
  <c r="BM987" i="15" s="1"/>
  <c r="BN987" i="15" s="1"/>
  <c r="BM986" i="15" s="1"/>
  <c r="BM964" i="15" s="1"/>
  <c r="BM963" i="15" s="1"/>
  <c r="BN963" i="15" s="1"/>
  <c r="BM962" i="15" s="1"/>
  <c r="BN962" i="15" s="1"/>
  <c r="BM960" i="15" s="1"/>
  <c r="BM959" i="15" s="1"/>
  <c r="BN959" i="15" s="1"/>
  <c r="BM958" i="15" s="1"/>
  <c r="BN958" i="15" s="1"/>
  <c r="BM957" i="15" s="1"/>
  <c r="BN957" i="15" s="1"/>
  <c r="BM956" i="15" s="1"/>
  <c r="BM954" i="15" s="1"/>
  <c r="BM953" i="15" s="1"/>
  <c r="BN953" i="15" s="1"/>
  <c r="BM931" i="15" s="1"/>
  <c r="BM930" i="15" s="1"/>
  <c r="BM928" i="15" s="1"/>
  <c r="BM927" i="15" s="1"/>
  <c r="BN927" i="15" s="1"/>
  <c r="BM926" i="15" s="1"/>
  <c r="BN926" i="15" s="1"/>
  <c r="BM925" i="15" s="1"/>
  <c r="BN925" i="15" s="1"/>
  <c r="BM924" i="15" s="1"/>
  <c r="BN924" i="15" s="1"/>
  <c r="BM923" i="15" s="1"/>
  <c r="BN923" i="15" s="1"/>
  <c r="BM922" i="15" s="1"/>
  <c r="BN922" i="15" s="1"/>
  <c r="BM921" i="15" s="1"/>
  <c r="BM916" i="15" s="1"/>
  <c r="BM901" i="15" s="1"/>
  <c r="BM900" i="15" s="1"/>
  <c r="BM899" i="15" s="1"/>
  <c r="BN899" i="15" s="1"/>
  <c r="BM898" i="15" s="1"/>
  <c r="BN898" i="15" s="1"/>
  <c r="BM897" i="15" s="1"/>
  <c r="BN897" i="15" s="1"/>
  <c r="BM896" i="15" s="1"/>
  <c r="BN896" i="15" s="1"/>
  <c r="BM895" i="15" s="1"/>
  <c r="BN895" i="15" s="1"/>
  <c r="BM894" i="15" s="1"/>
  <c r="BN894" i="15" s="1"/>
  <c r="BM893" i="15" s="1"/>
  <c r="BN893" i="15" s="1"/>
  <c r="BM869" i="15" s="1"/>
  <c r="BM868" i="15" s="1"/>
  <c r="BN868" i="15" s="1"/>
  <c r="BM867" i="15" s="1"/>
  <c r="BN867" i="15" s="1"/>
  <c r="BM866" i="15" s="1"/>
  <c r="BN866" i="15" s="1"/>
  <c r="BM865" i="15" s="1"/>
  <c r="BN865" i="15" s="1"/>
  <c r="BM864" i="15" s="1"/>
  <c r="BN864" i="15" s="1"/>
  <c r="BM863" i="15" s="1"/>
  <c r="BN863" i="15" s="1"/>
  <c r="BM862" i="15" s="1"/>
  <c r="BN862" i="15" s="1"/>
  <c r="BM861" i="15" s="1"/>
  <c r="BN861" i="15" s="1"/>
  <c r="BM860" i="15" s="1"/>
  <c r="BN860" i="15" s="1"/>
  <c r="BM841" i="15" s="1"/>
  <c r="BM840" i="15" s="1"/>
  <c r="BN840" i="15" s="1"/>
  <c r="BM839" i="15" s="1"/>
  <c r="BN839" i="15" s="1"/>
  <c r="BM838" i="15" s="1"/>
  <c r="BN838" i="15" s="1"/>
  <c r="BM837" i="15" s="1"/>
  <c r="BM835" i="15" s="1"/>
  <c r="BM834" i="15" s="1"/>
  <c r="BM832" i="15" s="1"/>
  <c r="BM831" i="15" s="1"/>
  <c r="BN831" i="15" s="1"/>
  <c r="BM830" i="15" s="1"/>
  <c r="BN830" i="15" s="1"/>
  <c r="BM829" i="15" s="1"/>
  <c r="BM827" i="15" s="1"/>
  <c r="BM826" i="15" s="1"/>
  <c r="BN826" i="15" s="1"/>
  <c r="BM825" i="15" s="1"/>
  <c r="BN825" i="15" s="1"/>
  <c r="BM824" i="15" s="1"/>
  <c r="BM822" i="15" s="1"/>
  <c r="BM821" i="15" s="1"/>
  <c r="BN821" i="15" s="1"/>
  <c r="BM819" i="15" s="1"/>
  <c r="BM818" i="15" s="1"/>
  <c r="BN818" i="15" s="1"/>
  <c r="BM817" i="15" s="1"/>
  <c r="BN817" i="15" s="1"/>
  <c r="BM816" i="15" s="1"/>
  <c r="BM814" i="15" s="1"/>
  <c r="BM734" i="15" s="1"/>
  <c r="BM708" i="15" s="1"/>
  <c r="BM707" i="15" s="1"/>
  <c r="BN707" i="15" s="1"/>
  <c r="BM706" i="15" s="1"/>
  <c r="BN706" i="15" s="1"/>
  <c r="BM705" i="15" s="1"/>
  <c r="BN705" i="15" s="1"/>
  <c r="BM704" i="15" s="1"/>
  <c r="BN704" i="15" s="1"/>
  <c r="BM703" i="15" s="1"/>
  <c r="BN703" i="15" s="1"/>
  <c r="BM702" i="15" s="1"/>
  <c r="BN702" i="15" s="1"/>
  <c r="BM701" i="15" s="1"/>
  <c r="BN701" i="15" s="1"/>
  <c r="BM700" i="15" s="1"/>
  <c r="BN700" i="15" s="1"/>
  <c r="BM699" i="15" s="1"/>
  <c r="BN699" i="15" s="1"/>
  <c r="BM698" i="15" s="1"/>
  <c r="BN698" i="15" s="1"/>
  <c r="BM697" i="15" s="1"/>
  <c r="BN697" i="15" s="1"/>
  <c r="BM696" i="15" s="1"/>
  <c r="BM694" i="15" s="1"/>
  <c r="BM693" i="15" s="1"/>
  <c r="BN693" i="15" s="1"/>
  <c r="BM692" i="15" s="1"/>
  <c r="BN692" i="15" s="1"/>
  <c r="BM691" i="15" s="1"/>
  <c r="BN691" i="15" s="1"/>
  <c r="BM690" i="15" s="1"/>
  <c r="BN690" i="15" s="1"/>
  <c r="BM689" i="15" s="1"/>
  <c r="BN689" i="15" s="1"/>
  <c r="BM688" i="15" s="1"/>
  <c r="BN688" i="15" s="1"/>
  <c r="BM686" i="15" s="1"/>
  <c r="BM685" i="15" s="1"/>
  <c r="BN685" i="15" s="1"/>
  <c r="BM684" i="15" s="1"/>
  <c r="BN684" i="15" s="1"/>
  <c r="BM683" i="15" s="1"/>
  <c r="BN683" i="15" s="1"/>
  <c r="BM682" i="15" s="1"/>
  <c r="BN682" i="15" s="1"/>
  <c r="BM681" i="15" s="1"/>
  <c r="BN681" i="15" s="1"/>
  <c r="BM680" i="15" s="1"/>
  <c r="BN680" i="15" s="1"/>
  <c r="BM631" i="15" s="1"/>
  <c r="BM630" i="15" s="1"/>
  <c r="BN630" i="15" s="1"/>
  <c r="BM629" i="15" s="1"/>
  <c r="BN629" i="15" s="1"/>
  <c r="BM628" i="15" s="1"/>
  <c r="BN628" i="15" s="1"/>
  <c r="BM627" i="15" s="1"/>
  <c r="BN627" i="15" s="1"/>
  <c r="BM626" i="15" s="1"/>
  <c r="BM622" i="15" s="1"/>
  <c r="BM613" i="15" s="1"/>
  <c r="BM610" i="15" s="1"/>
  <c r="BM606" i="15" s="1"/>
  <c r="BM600" i="15" s="1"/>
  <c r="BM595" i="15" s="1"/>
  <c r="BM578" i="15" s="1"/>
  <c r="BM577" i="15" s="1"/>
  <c r="BN577" i="15" s="1"/>
  <c r="BM576" i="15" s="1"/>
  <c r="BN576" i="15" s="1"/>
  <c r="BM575" i="15" s="1"/>
  <c r="BN575" i="15" s="1"/>
  <c r="BM574" i="15" s="1"/>
  <c r="BN574" i="15" s="1"/>
  <c r="BM573" i="15" s="1"/>
  <c r="BN573" i="15" s="1"/>
  <c r="BM572" i="15" s="1"/>
  <c r="BN572" i="15" s="1"/>
  <c r="BM571" i="15" s="1"/>
  <c r="BN571" i="15" s="1"/>
  <c r="BM570" i="15" s="1"/>
  <c r="BN570" i="15" s="1"/>
  <c r="BM568" i="15" s="1"/>
  <c r="BM567" i="15" s="1"/>
  <c r="BN567" i="15" s="1"/>
  <c r="BM566" i="15" s="1"/>
  <c r="BN566" i="15" s="1"/>
  <c r="BM565" i="15" s="1"/>
  <c r="BN565" i="15" s="1"/>
  <c r="BM564" i="15" s="1"/>
  <c r="BN564" i="15" s="1"/>
  <c r="BM563" i="15" s="1"/>
  <c r="BN563" i="15" s="1"/>
  <c r="BM562" i="15" s="1"/>
  <c r="BN562" i="15" s="1"/>
  <c r="BM561" i="15" s="1"/>
  <c r="BN561" i="15" s="1"/>
  <c r="BM560" i="15" s="1"/>
  <c r="BN560" i="15" s="1"/>
  <c r="BM559" i="15" s="1"/>
  <c r="BN559" i="15" s="1"/>
  <c r="BM558" i="15" s="1"/>
  <c r="BN558" i="15" s="1"/>
  <c r="BM557" i="15" s="1"/>
  <c r="BN557" i="15" s="1"/>
  <c r="BM556" i="15" s="1"/>
  <c r="BN556" i="15" s="1"/>
  <c r="BM510" i="15" s="1"/>
  <c r="BM509" i="15" s="1"/>
  <c r="BN509" i="15" s="1"/>
  <c r="BM508" i="15" s="1"/>
  <c r="BN508" i="15" s="1"/>
  <c r="BM507" i="15" s="1"/>
  <c r="BN507" i="15" s="1"/>
  <c r="BM506" i="15" s="1"/>
  <c r="BN506" i="15" s="1"/>
  <c r="BM505" i="15" s="1"/>
  <c r="BN505" i="15" s="1"/>
  <c r="BM503" i="15" s="1"/>
  <c r="BM502" i="15" s="1"/>
  <c r="BN502" i="15" s="1"/>
  <c r="BM501" i="15" s="1"/>
  <c r="BN501" i="15" s="1"/>
  <c r="BM500" i="15" s="1"/>
  <c r="BN500" i="15" s="1"/>
  <c r="BM499" i="15" s="1"/>
  <c r="BN499" i="15" s="1"/>
  <c r="BM498" i="15" s="1"/>
  <c r="BN498" i="15" s="1"/>
  <c r="BM497" i="15" s="1"/>
  <c r="BN497" i="15" s="1"/>
  <c r="BM496" i="15" s="1"/>
  <c r="BN496" i="15" s="1"/>
  <c r="BM495" i="15" s="1"/>
  <c r="BN495" i="15" s="1"/>
  <c r="BM494" i="15" s="1"/>
  <c r="BN494" i="15" s="1"/>
  <c r="BM493" i="15" s="1"/>
  <c r="BN493" i="15" s="1"/>
  <c r="BM492" i="15" s="1"/>
  <c r="BN492" i="15" s="1"/>
  <c r="BM491" i="15" s="1"/>
  <c r="BN491" i="15" s="1"/>
  <c r="BM490" i="15" s="1"/>
  <c r="BN490" i="15" s="1"/>
  <c r="BM489" i="15" s="1"/>
  <c r="BN489" i="15" s="1"/>
  <c r="BM488" i="15" s="1"/>
  <c r="BN488" i="15" s="1"/>
  <c r="BM487" i="15" s="1"/>
  <c r="BN487" i="15" s="1"/>
  <c r="BM486" i="15" s="1"/>
  <c r="BN486" i="15" s="1"/>
  <c r="BM485" i="15" s="1"/>
  <c r="BN485" i="15" s="1"/>
  <c r="BM484" i="15" s="1"/>
  <c r="BM420" i="15" s="1"/>
  <c r="BM419" i="15" s="1"/>
  <c r="BM417" i="15" s="1"/>
  <c r="BM415" i="15" s="1"/>
  <c r="BM414" i="15" s="1"/>
  <c r="BN414" i="15" s="1"/>
  <c r="BM413" i="15" s="1"/>
  <c r="BN413" i="15" s="1"/>
  <c r="BM412" i="15" s="1"/>
  <c r="BN412" i="15" s="1"/>
  <c r="BM411" i="15" s="1"/>
  <c r="BN411" i="15" s="1"/>
  <c r="BM410" i="15" s="1"/>
  <c r="BN410" i="15" s="1"/>
  <c r="BM409" i="15" s="1"/>
  <c r="BN409" i="15" s="1"/>
  <c r="BM408" i="15" s="1"/>
  <c r="BN408" i="15" s="1"/>
  <c r="BM407" i="15" s="1"/>
  <c r="BN407" i="15" s="1"/>
  <c r="BM406" i="15" s="1"/>
  <c r="BN406" i="15" s="1"/>
  <c r="BM405" i="15" s="1"/>
  <c r="BN405" i="15" s="1"/>
  <c r="BM404" i="15" s="1"/>
  <c r="BN404" i="15" s="1"/>
  <c r="BM403" i="15" s="1"/>
  <c r="BN403" i="15" s="1"/>
  <c r="BM402" i="15" s="1"/>
  <c r="BN402" i="15" s="1"/>
  <c r="BM401" i="15" s="1"/>
  <c r="BN401" i="15" s="1"/>
  <c r="BM400" i="15" s="1"/>
  <c r="BN400" i="15" s="1"/>
  <c r="BM399" i="15" s="1"/>
  <c r="BN399" i="15" s="1"/>
  <c r="BM398" i="15" s="1"/>
  <c r="BN398" i="15" s="1"/>
  <c r="BM397" i="15" s="1"/>
  <c r="BN397" i="15" s="1"/>
  <c r="BM396" i="15" s="1"/>
  <c r="BN396" i="15" s="1"/>
  <c r="BM395" i="15" s="1"/>
  <c r="BN395" i="15" s="1"/>
  <c r="BM394" i="15" s="1"/>
  <c r="BN394" i="15" s="1"/>
  <c r="BM393" i="15" s="1"/>
  <c r="BN393" i="15" s="1"/>
  <c r="BM392" i="15" s="1"/>
  <c r="BN392" i="15" s="1"/>
  <c r="BM391" i="15" s="1"/>
  <c r="BN391" i="15" s="1"/>
  <c r="BM390" i="15" s="1"/>
  <c r="BN390" i="15" s="1"/>
  <c r="BM389" i="15" s="1"/>
  <c r="BN389" i="15" s="1"/>
  <c r="BM388" i="15" s="1"/>
  <c r="BN388" i="15" s="1"/>
  <c r="BM372" i="15" s="1"/>
  <c r="BM371" i="15" s="1"/>
  <c r="BN371" i="15" s="1"/>
  <c r="BM370" i="15" s="1"/>
  <c r="BN370" i="15" s="1"/>
  <c r="BM369" i="15" s="1"/>
  <c r="BN369" i="15" s="1"/>
  <c r="BM368" i="15" s="1"/>
  <c r="BN368" i="15" s="1"/>
  <c r="BM367" i="15" s="1"/>
  <c r="BN367" i="15" s="1"/>
  <c r="BM366" i="15" s="1"/>
  <c r="BM365" i="15" s="1"/>
  <c r="BN365" i="15" s="1"/>
  <c r="BM364" i="15" s="1"/>
  <c r="BN364" i="15" s="1"/>
  <c r="BM363" i="15" s="1"/>
  <c r="BN363" i="15" s="1"/>
  <c r="BM362" i="15" s="1"/>
  <c r="BN362" i="15" s="1"/>
  <c r="BM361" i="15" s="1"/>
  <c r="BN361" i="15" s="1"/>
  <c r="BM360" i="15" s="1"/>
  <c r="BN360" i="15" s="1"/>
  <c r="BM359" i="15" s="1"/>
  <c r="BN359" i="15" s="1"/>
  <c r="BM358" i="15" s="1"/>
  <c r="BN358" i="15" s="1"/>
  <c r="BM357" i="15" s="1"/>
  <c r="BN357" i="15" s="1"/>
  <c r="BM356" i="15" s="1"/>
  <c r="BN356" i="15" s="1"/>
  <c r="BM355" i="15" s="1"/>
  <c r="BN355" i="15" s="1"/>
  <c r="BM354" i="15" s="1"/>
  <c r="BN354" i="15" s="1"/>
  <c r="BM353" i="15" s="1"/>
  <c r="BN353" i="15" s="1"/>
  <c r="BM352" i="15" s="1"/>
  <c r="BN352" i="15" s="1"/>
  <c r="BM351" i="15" s="1"/>
  <c r="BN351" i="15" s="1"/>
  <c r="BM350" i="15" s="1"/>
  <c r="BN350" i="15" s="1"/>
  <c r="BM349" i="15" s="1"/>
  <c r="BN349" i="15" s="1"/>
  <c r="BM348" i="15" s="1"/>
  <c r="BN348" i="15" s="1"/>
  <c r="BM347" i="15" s="1"/>
  <c r="BN347" i="15" s="1"/>
  <c r="BM346" i="15" s="1"/>
  <c r="BN346" i="15" s="1"/>
  <c r="BM345" i="15" s="1"/>
  <c r="BN345" i="15" s="1"/>
  <c r="BM344" i="15" s="1"/>
  <c r="BM342" i="15" s="1"/>
  <c r="BM341" i="15" s="1"/>
  <c r="BN341" i="15" s="1"/>
  <c r="BM340" i="15" s="1"/>
  <c r="BN340" i="15" s="1"/>
  <c r="BM339" i="15" s="1"/>
  <c r="BN339" i="15" s="1"/>
  <c r="BM338" i="15" s="1"/>
  <c r="BN338" i="15" s="1"/>
  <c r="BM337" i="15" s="1"/>
  <c r="BN337" i="15" s="1"/>
  <c r="BM336" i="15" s="1"/>
  <c r="BN336" i="15" s="1"/>
  <c r="BM335" i="15" s="1"/>
  <c r="BN335" i="15" s="1"/>
  <c r="BM334" i="15" s="1"/>
  <c r="BN334" i="15" s="1"/>
  <c r="BM333" i="15" s="1"/>
  <c r="BN333" i="15" s="1"/>
  <c r="BM332" i="15" s="1"/>
  <c r="BN332" i="15" s="1"/>
  <c r="BM331" i="15" s="1"/>
  <c r="BN331" i="15" s="1"/>
  <c r="BM330" i="15" s="1"/>
  <c r="BN330" i="15" s="1"/>
  <c r="BM329" i="15" s="1"/>
  <c r="BN329" i="15" s="1"/>
  <c r="BM328" i="15" s="1"/>
  <c r="BN328" i="15" s="1"/>
  <c r="BM327" i="15" s="1"/>
  <c r="BN327" i="15" s="1"/>
  <c r="BM326" i="15" s="1"/>
  <c r="BN326" i="15" s="1"/>
  <c r="BM325" i="15" s="1"/>
  <c r="BN325" i="15" s="1"/>
  <c r="BM324" i="15" s="1"/>
  <c r="BN324" i="15" s="1"/>
  <c r="BM323" i="15" s="1"/>
  <c r="BN323" i="15" s="1"/>
  <c r="BM322" i="15" s="1"/>
  <c r="BN322" i="15" s="1"/>
  <c r="BM321" i="15" s="1"/>
  <c r="BN321" i="15" s="1"/>
  <c r="BM223" i="15" s="1"/>
  <c r="BM222" i="15" s="1"/>
  <c r="BN222" i="15" s="1"/>
  <c r="BM221" i="15" s="1"/>
  <c r="BM161" i="15" s="1"/>
  <c r="BM160" i="15" s="1"/>
  <c r="BM158" i="15" s="1"/>
  <c r="BM157" i="15" s="1"/>
  <c r="BM156" i="15" s="1"/>
  <c r="BN156" i="15" s="1"/>
  <c r="BM155" i="15" s="1"/>
  <c r="BM154" i="15" s="1"/>
  <c r="BM153" i="15" s="1"/>
  <c r="BM152" i="15" s="1"/>
  <c r="BM150" i="15" s="1"/>
  <c r="BM149" i="15" s="1"/>
  <c r="BM148" i="15" s="1"/>
  <c r="BM147" i="15" s="1"/>
  <c r="BN147" i="15" s="1"/>
  <c r="BM146" i="15" s="1"/>
  <c r="BN146" i="15" s="1"/>
  <c r="BM145" i="15" s="1"/>
  <c r="BN145" i="15" s="1"/>
  <c r="BM144" i="15" s="1"/>
  <c r="BM143" i="15" s="1"/>
  <c r="BM142" i="15" s="1"/>
  <c r="BN142" i="15" s="1"/>
  <c r="BM141" i="15" s="1"/>
  <c r="BM140" i="15" s="1"/>
  <c r="BM139" i="15" s="1"/>
  <c r="BM138" i="15" s="1"/>
  <c r="BM137" i="15" s="1"/>
  <c r="BM136" i="15" s="1"/>
  <c r="BN136" i="15" s="1"/>
  <c r="BM135" i="15" s="1"/>
  <c r="BM134" i="15" s="1"/>
  <c r="BM133" i="15" s="1"/>
  <c r="BN133" i="15" s="1"/>
  <c r="BM132" i="15" s="1"/>
  <c r="BM130" i="15" s="1"/>
  <c r="BM129" i="15" s="1"/>
  <c r="BN129" i="15" s="1"/>
  <c r="BM128" i="15" s="1"/>
  <c r="BN128" i="15" s="1"/>
  <c r="BM126" i="15" s="1"/>
  <c r="BM125" i="15" s="1"/>
  <c r="BM124" i="15" s="1"/>
  <c r="BN124" i="15" s="1"/>
  <c r="BM123" i="15" s="1"/>
  <c r="BN123" i="15" s="1"/>
  <c r="BM122" i="15" s="1"/>
  <c r="BN122" i="15" s="1"/>
  <c r="BM121" i="15" s="1"/>
  <c r="BN121" i="15" s="1"/>
  <c r="BM116" i="15" s="1"/>
  <c r="BM107" i="15" s="1"/>
  <c r="BM92" i="15" s="1"/>
  <c r="BM71" i="15" s="1"/>
  <c r="BM51" i="15" s="1"/>
  <c r="BM44" i="15" s="1"/>
  <c r="BM43" i="15" s="1"/>
  <c r="BM42" i="15" s="1"/>
  <c r="BM41" i="15" s="1"/>
  <c r="BM40" i="15" s="1"/>
  <c r="BM39" i="15" s="1"/>
  <c r="BM38" i="15" s="1"/>
  <c r="BN38" i="15" s="1"/>
  <c r="BM37" i="15" s="1"/>
  <c r="BM36" i="15" s="1"/>
  <c r="BM35" i="15" s="1"/>
  <c r="BM34" i="15" s="1"/>
  <c r="BM33" i="15" s="1"/>
  <c r="BM32" i="15" s="1"/>
  <c r="BM31" i="15" s="1"/>
  <c r="BN31" i="15" s="1"/>
  <c r="BM30" i="15" s="1"/>
  <c r="BN30" i="15" s="1"/>
  <c r="BM29" i="15" s="1"/>
  <c r="BN29" i="15" s="1"/>
  <c r="BM28" i="15" s="1"/>
  <c r="BN28" i="15" s="1"/>
  <c r="BM27" i="15" s="1"/>
  <c r="BM26" i="15" s="1"/>
  <c r="BM25" i="15" s="1"/>
  <c r="BM24" i="15" s="1"/>
  <c r="BM23" i="15" s="1"/>
  <c r="BN23" i="15" s="1"/>
  <c r="BM22" i="15" s="1"/>
  <c r="BN22" i="15" s="1"/>
  <c r="BM21" i="15" s="1"/>
  <c r="BM20" i="15" s="1"/>
  <c r="BN20" i="15" s="1"/>
  <c r="BM19" i="15" s="1"/>
  <c r="BM18" i="15" s="1"/>
  <c r="BN18" i="15" s="1"/>
  <c r="BM17" i="15" s="1"/>
  <c r="BM16" i="15" s="1"/>
  <c r="BM15" i="15" s="1"/>
  <c r="BN15" i="15" s="1"/>
  <c r="BM13" i="15" s="1"/>
  <c r="BM12" i="15" s="1"/>
  <c r="BM7" i="15" s="1"/>
  <c r="BM6" i="15" s="1"/>
  <c r="BM159" i="15" l="1"/>
  <c r="BN159" i="15" s="1"/>
  <c r="BN366" i="15"/>
  <c r="BN143" i="15"/>
  <c r="BM14" i="15"/>
  <c r="BN14" i="15" s="1"/>
  <c r="BN21" i="15"/>
  <c r="BM151" i="15"/>
  <c r="BN151" i="15" s="1"/>
  <c r="BN157" i="15"/>
  <c r="BN137" i="15"/>
  <c r="BN139" i="15"/>
  <c r="BM119" i="15"/>
  <c r="BN134" i="15"/>
  <c r="BN125" i="15"/>
  <c r="BN152" i="15"/>
  <c r="BN155" i="15"/>
  <c r="BN148" i="15"/>
  <c r="BN153" i="15"/>
  <c r="BN141" i="15"/>
  <c r="BN19" i="15"/>
  <c r="BN32" i="15"/>
  <c r="BN140" i="15"/>
  <c r="BN154" i="15"/>
  <c r="BN144" i="15"/>
  <c r="BN149" i="15"/>
  <c r="BN160" i="15"/>
  <c r="BM11" i="15"/>
  <c r="BN11" i="15" s="1"/>
  <c r="BN12" i="15"/>
  <c r="BN135" i="15"/>
  <c r="BN138" i="15"/>
  <c r="BN6" i="15"/>
  <c r="BN35" i="15"/>
  <c r="BM45" i="15"/>
  <c r="BN132" i="15"/>
  <c r="BN221" i="15"/>
  <c r="BN344" i="15"/>
  <c r="BN419" i="15"/>
  <c r="BN484" i="15"/>
  <c r="BN626" i="15"/>
  <c r="BN696" i="15"/>
  <c r="BN816" i="15"/>
  <c r="BN824" i="15"/>
  <c r="BN829" i="15"/>
  <c r="BN834" i="15"/>
  <c r="BN837" i="15"/>
  <c r="BN900" i="15"/>
  <c r="BN921" i="15"/>
  <c r="BN930" i="15"/>
  <c r="BN956" i="15"/>
  <c r="BN986" i="15"/>
  <c r="BN1005" i="15"/>
  <c r="BN1016" i="15"/>
  <c r="BN1037" i="15"/>
  <c r="BN1045" i="15"/>
  <c r="BM1100" i="15"/>
  <c r="BN1100" i="15" s="1"/>
  <c r="BM1099" i="15" s="1"/>
  <c r="BN1099" i="15" s="1"/>
  <c r="BM1098" i="15" s="1"/>
  <c r="BN1098" i="15" s="1"/>
  <c r="BM1097" i="15" s="1"/>
  <c r="BN1097" i="15" s="1"/>
  <c r="BM1096" i="15" s="1"/>
  <c r="BN1096" i="15" s="1"/>
  <c r="BM1095" i="15" s="1"/>
  <c r="BN1095" i="15" s="1"/>
  <c r="BM1094" i="15" s="1"/>
  <c r="BN1094" i="15" s="1"/>
  <c r="BM1093" i="15" s="1"/>
  <c r="BN1093" i="15" s="1"/>
  <c r="BM1092" i="15" s="1"/>
  <c r="BN1092" i="15" s="1"/>
  <c r="BM1091" i="15" s="1"/>
  <c r="BN1091" i="15" s="1"/>
  <c r="BM1090" i="15" s="1"/>
  <c r="BN1090" i="15" s="1"/>
  <c r="BM1089" i="15" s="1"/>
  <c r="BN1089" i="15" s="1"/>
  <c r="BM1088" i="15" s="1"/>
  <c r="BN1088" i="15" s="1"/>
  <c r="BM1087" i="15" s="1"/>
  <c r="BN1087" i="15" s="1"/>
  <c r="BM1086" i="15" s="1"/>
  <c r="BN1086" i="15" s="1"/>
  <c r="BM1085" i="15" s="1"/>
  <c r="BN1085" i="15" s="1"/>
  <c r="BM1084" i="15" s="1"/>
  <c r="BN1084" i="15" s="1"/>
  <c r="BM1082" i="15" s="1"/>
  <c r="BN158" i="15" l="1"/>
  <c r="BN13" i="15"/>
  <c r="BN150" i="15"/>
  <c r="BM1081" i="15"/>
  <c r="BN1081" i="15" s="1"/>
  <c r="BM1080" i="15" s="1"/>
  <c r="BN1080" i="15" s="1"/>
  <c r="BM1079" i="15" s="1"/>
  <c r="BN1079" i="15" s="1"/>
  <c r="BM1078" i="15" s="1"/>
  <c r="BN1078" i="15" s="1"/>
  <c r="BM1077" i="15" s="1"/>
  <c r="BN1077" i="15" s="1"/>
  <c r="BM1076" i="15" s="1"/>
  <c r="BN1076" i="15" s="1"/>
  <c r="BM1075" i="15" s="1"/>
  <c r="BN1082" i="15"/>
  <c r="BN1083" i="15"/>
  <c r="BN1075" i="15" l="1"/>
  <c r="BM1072" i="15" s="1"/>
  <c r="BN1074" i="15"/>
  <c r="BM1036" i="15" l="1"/>
  <c r="BN1072" i="15"/>
  <c r="BN1071" i="15"/>
  <c r="BM1034" i="15" l="1"/>
  <c r="BN1035" i="15"/>
  <c r="BN1036" i="15"/>
  <c r="BM1029" i="15" l="1"/>
  <c r="BN1034" i="15"/>
  <c r="BN1033" i="15"/>
  <c r="BM1028" i="15" l="1"/>
  <c r="BN1028" i="15" s="1"/>
  <c r="BM1027" i="15" s="1"/>
  <c r="BN1027" i="15" s="1"/>
  <c r="BM1026" i="15" s="1"/>
  <c r="BN1026" i="15" s="1"/>
  <c r="BM1025" i="15" s="1"/>
  <c r="BN1025" i="15" s="1"/>
  <c r="BM1024" i="15" s="1"/>
  <c r="BN1024" i="15" s="1"/>
  <c r="BM1023" i="15" s="1"/>
  <c r="BN1029" i="15"/>
  <c r="BM1015" i="15" l="1"/>
  <c r="BN1023" i="15"/>
  <c r="BN1022" i="15"/>
  <c r="BM1014" i="15" l="1"/>
  <c r="BN1014" i="15" s="1"/>
  <c r="BM1013" i="15" s="1"/>
  <c r="BN1013" i="15" s="1"/>
  <c r="BM1012" i="15" s="1"/>
  <c r="BN1012" i="15" s="1"/>
  <c r="BM1011" i="15" s="1"/>
  <c r="BN1011" i="15" s="1"/>
  <c r="BM1010" i="15" s="1"/>
  <c r="BN1010" i="15" s="1"/>
  <c r="BM1009" i="15" s="1"/>
  <c r="BN1015" i="15"/>
  <c r="BM1021" i="15" l="1"/>
  <c r="BN1009" i="15"/>
  <c r="BN1008" i="15"/>
  <c r="BM1004" i="15" l="1"/>
  <c r="BN1021" i="15"/>
  <c r="BN1020" i="15"/>
  <c r="BM1003" i="15" l="1"/>
  <c r="BN1003" i="15" s="1"/>
  <c r="BM1002" i="15" s="1"/>
  <c r="BN1002" i="15" s="1"/>
  <c r="BM1001" i="15" s="1"/>
  <c r="BN1001" i="15" s="1"/>
  <c r="BM1000" i="15" s="1"/>
  <c r="BN1000" i="15" s="1"/>
  <c r="BM999" i="15" s="1"/>
  <c r="BN999" i="15" s="1"/>
  <c r="BM998" i="15" s="1"/>
  <c r="BN998" i="15" s="1"/>
  <c r="BM997" i="15" s="1"/>
  <c r="BN997" i="15" s="1"/>
  <c r="BM996" i="15" s="1"/>
  <c r="BN996" i="15" s="1"/>
  <c r="BM995" i="15" s="1"/>
  <c r="BN995" i="15" s="1"/>
  <c r="BM994" i="15" s="1"/>
  <c r="BN994" i="15" s="1"/>
  <c r="BM993" i="15" s="1"/>
  <c r="BN993" i="15" s="1"/>
  <c r="BM992" i="15" s="1"/>
  <c r="BN1004" i="15"/>
  <c r="BN992" i="15" l="1"/>
  <c r="BM1018" i="15" s="1"/>
  <c r="BN991" i="15"/>
  <c r="BM1044" i="15" l="1"/>
  <c r="BN1018" i="15"/>
  <c r="BN1017" i="15"/>
  <c r="BM985" i="15" l="1"/>
  <c r="BN1043" i="15"/>
  <c r="BN1044" i="15"/>
  <c r="BM984" i="15" l="1"/>
  <c r="BN984" i="15" s="1"/>
  <c r="BM983" i="15" s="1"/>
  <c r="BN983" i="15" s="1"/>
  <c r="BM982" i="15" s="1"/>
  <c r="BN982" i="15" s="1"/>
  <c r="BM981" i="15" s="1"/>
  <c r="BN981" i="15" s="1"/>
  <c r="BM980" i="15" s="1"/>
  <c r="BN985" i="15"/>
  <c r="BM979" i="15" l="1"/>
  <c r="BN980" i="15"/>
  <c r="BM978" i="15" l="1"/>
  <c r="BN978" i="15" s="1"/>
  <c r="BM977" i="15" s="1"/>
  <c r="BN977" i="15" s="1"/>
  <c r="BM976" i="15" s="1"/>
  <c r="BN976" i="15" s="1"/>
  <c r="BM975" i="15" s="1"/>
  <c r="BN975" i="15" s="1"/>
  <c r="BM974" i="15" s="1"/>
  <c r="BN974" i="15" s="1"/>
  <c r="BM973" i="15" s="1"/>
  <c r="BN973" i="15" s="1"/>
  <c r="BM972" i="15" s="1"/>
  <c r="BN979" i="15"/>
  <c r="BM971" i="15" l="1"/>
  <c r="BN972" i="15"/>
  <c r="BM970" i="15" l="1"/>
  <c r="BN970" i="15" s="1"/>
  <c r="BM969" i="15" s="1"/>
  <c r="BN969" i="15" s="1"/>
  <c r="BM968" i="15" s="1"/>
  <c r="BN968" i="15" s="1"/>
  <c r="BM967" i="15" s="1"/>
  <c r="BN967" i="15" s="1"/>
  <c r="BM966" i="15" s="1"/>
  <c r="BN966" i="15" s="1"/>
  <c r="BM965" i="15" s="1"/>
  <c r="BN971" i="15"/>
  <c r="BM952" i="15" l="1"/>
  <c r="BN965" i="15"/>
  <c r="BN964" i="15"/>
  <c r="BM951" i="15" l="1"/>
  <c r="BN951" i="15" s="1"/>
  <c r="BM950" i="15" s="1"/>
  <c r="BN950" i="15" s="1"/>
  <c r="BM949" i="15" s="1"/>
  <c r="BN949" i="15" s="1"/>
  <c r="BM948" i="15" s="1"/>
  <c r="BN948" i="15" s="1"/>
  <c r="BM947" i="15" s="1"/>
  <c r="BN947" i="15" s="1"/>
  <c r="BM946" i="15" s="1"/>
  <c r="BN946" i="15" s="1"/>
  <c r="BM945" i="15" s="1"/>
  <c r="BN945" i="15" s="1"/>
  <c r="BM944" i="15" s="1"/>
  <c r="BN944" i="15" s="1"/>
  <c r="BM943" i="15" s="1"/>
  <c r="BN943" i="15" s="1"/>
  <c r="BM942" i="15" s="1"/>
  <c r="BN942" i="15" s="1"/>
  <c r="BM941" i="15" s="1"/>
  <c r="BN941" i="15" s="1"/>
  <c r="BM940" i="15" s="1"/>
  <c r="BN940" i="15" s="1"/>
  <c r="BM939" i="15" s="1"/>
  <c r="BN939" i="15" s="1"/>
  <c r="BM938" i="15" s="1"/>
  <c r="BN938" i="15" s="1"/>
  <c r="BM937" i="15" s="1"/>
  <c r="BN937" i="15" s="1"/>
  <c r="BM936" i="15" s="1"/>
  <c r="BN936" i="15" s="1"/>
  <c r="BM935" i="15" s="1"/>
  <c r="BN935" i="15" s="1"/>
  <c r="BM934" i="15" s="1"/>
  <c r="BN952" i="15"/>
  <c r="BM933" i="15" l="1"/>
  <c r="BN934" i="15"/>
  <c r="BM932" i="15" l="1"/>
  <c r="BN933" i="15"/>
  <c r="BM955" i="15" l="1"/>
  <c r="BN932" i="15"/>
  <c r="BN931" i="15"/>
  <c r="BM990" i="15" l="1"/>
  <c r="BN955" i="15"/>
  <c r="BN954" i="15"/>
  <c r="BM961" i="15" l="1"/>
  <c r="BN990" i="15"/>
  <c r="BN989" i="15"/>
  <c r="BM929" i="15" l="1"/>
  <c r="BN961" i="15"/>
  <c r="BN960" i="15"/>
  <c r="BM920" i="15" l="1"/>
  <c r="BN929" i="15"/>
  <c r="BN928" i="15"/>
  <c r="BM919" i="15" l="1"/>
  <c r="BN919" i="15" s="1"/>
  <c r="BM918" i="15" s="1"/>
  <c r="BN918" i="15" s="1"/>
  <c r="BM917" i="15" s="1"/>
  <c r="BN920" i="15"/>
  <c r="BM915" i="15" l="1"/>
  <c r="BN917" i="15"/>
  <c r="BN916" i="15"/>
  <c r="BM914" i="15" l="1"/>
  <c r="BN914" i="15" s="1"/>
  <c r="BM913" i="15" s="1"/>
  <c r="BN913" i="15" s="1"/>
  <c r="BM912" i="15" s="1"/>
  <c r="BN915" i="15"/>
  <c r="BM911" i="15" l="1"/>
  <c r="BN912" i="15"/>
  <c r="BM910" i="15" l="1"/>
  <c r="BN910" i="15" s="1"/>
  <c r="BM909" i="15" s="1"/>
  <c r="BN909" i="15" s="1"/>
  <c r="BM908" i="15" s="1"/>
  <c r="BN911" i="15"/>
  <c r="BM907" i="15" l="1"/>
  <c r="BN908" i="15"/>
  <c r="BM906" i="15" l="1"/>
  <c r="BN906" i="15" s="1"/>
  <c r="BM905" i="15" s="1"/>
  <c r="BN905" i="15" s="1"/>
  <c r="BM904" i="15" s="1"/>
  <c r="BN907" i="15"/>
  <c r="BM903" i="15" l="1"/>
  <c r="BN904" i="15"/>
  <c r="BM902" i="15" l="1"/>
  <c r="BN903" i="15"/>
  <c r="BN902" i="15" l="1"/>
  <c r="BM892" i="15" s="1"/>
  <c r="BN901" i="15"/>
  <c r="BM891" i="15" l="1"/>
  <c r="BN891" i="15" s="1"/>
  <c r="BM890" i="15" s="1"/>
  <c r="BN890" i="15" s="1"/>
  <c r="BM889" i="15" s="1"/>
  <c r="BN889" i="15" s="1"/>
  <c r="BM888" i="15" s="1"/>
  <c r="BN888" i="15" s="1"/>
  <c r="BM887" i="15" s="1"/>
  <c r="BN887" i="15" s="1"/>
  <c r="BM886" i="15" s="1"/>
  <c r="BN886" i="15" s="1"/>
  <c r="BM885" i="15" s="1"/>
  <c r="BN885" i="15" s="1"/>
  <c r="BM884" i="15" s="1"/>
  <c r="BN884" i="15" s="1"/>
  <c r="BM883" i="15" s="1"/>
  <c r="BN883" i="15" s="1"/>
  <c r="BM882" i="15" s="1"/>
  <c r="BN882" i="15" s="1"/>
  <c r="BM881" i="15" s="1"/>
  <c r="BN881" i="15" s="1"/>
  <c r="BM880" i="15" s="1"/>
  <c r="BN880" i="15" s="1"/>
  <c r="BM879" i="15" s="1"/>
  <c r="BN879" i="15" s="1"/>
  <c r="BM878" i="15" s="1"/>
  <c r="BN878" i="15" s="1"/>
  <c r="BM877" i="15" s="1"/>
  <c r="BN877" i="15" s="1"/>
  <c r="BM876" i="15" s="1"/>
  <c r="BN876" i="15" s="1"/>
  <c r="BM875" i="15" s="1"/>
  <c r="BN875" i="15" s="1"/>
  <c r="BM874" i="15" s="1"/>
  <c r="BN874" i="15" s="1"/>
  <c r="BM873" i="15" s="1"/>
  <c r="BN892" i="15"/>
  <c r="BM872" i="15" l="1"/>
  <c r="BN873" i="15"/>
  <c r="BM871" i="15" l="1"/>
  <c r="BN871" i="15" s="1"/>
  <c r="BM870" i="15" s="1"/>
  <c r="BN872" i="15"/>
  <c r="BN870" i="15" l="1"/>
  <c r="BM859" i="15" s="1"/>
  <c r="BN869" i="15"/>
  <c r="BM858" i="15" l="1"/>
  <c r="BN858" i="15" s="1"/>
  <c r="BM857" i="15" s="1"/>
  <c r="BN857" i="15" s="1"/>
  <c r="BM856" i="15" s="1"/>
  <c r="BN856" i="15" s="1"/>
  <c r="BM855" i="15" s="1"/>
  <c r="BN855" i="15" s="1"/>
  <c r="BM854" i="15" s="1"/>
  <c r="BN854" i="15" s="1"/>
  <c r="BM853" i="15" s="1"/>
  <c r="BN859" i="15"/>
  <c r="BM852" i="15" l="1"/>
  <c r="BN853" i="15"/>
  <c r="BM851" i="15" l="1"/>
  <c r="BN851" i="15" s="1"/>
  <c r="BM850" i="15" s="1"/>
  <c r="BN850" i="15" s="1"/>
  <c r="BM849" i="15" s="1"/>
  <c r="BN852" i="15"/>
  <c r="BM848" i="15" l="1"/>
  <c r="BN849" i="15"/>
  <c r="BM847" i="15" l="1"/>
  <c r="BN847" i="15" s="1"/>
  <c r="BM846" i="15" s="1"/>
  <c r="BN846" i="15" s="1"/>
  <c r="BM845" i="15" s="1"/>
  <c r="BN845" i="15" s="1"/>
  <c r="BM844" i="15" s="1"/>
  <c r="BN844" i="15" s="1"/>
  <c r="BM843" i="15" s="1"/>
  <c r="BN843" i="15" s="1"/>
  <c r="BM842" i="15" s="1"/>
  <c r="BN848" i="15"/>
  <c r="BN842" i="15" l="1"/>
  <c r="BM813" i="15" s="1"/>
  <c r="BN841" i="15"/>
  <c r="BM812" i="15" l="1"/>
  <c r="BN813" i="15"/>
  <c r="BM811" i="15" l="1"/>
  <c r="BN812" i="15"/>
  <c r="BM810" i="15" l="1"/>
  <c r="BN810" i="15" s="1"/>
  <c r="BM809" i="15" s="1"/>
  <c r="BN809" i="15" s="1"/>
  <c r="BM808" i="15" s="1"/>
  <c r="BN808" i="15" s="1"/>
  <c r="BM807" i="15" s="1"/>
  <c r="BN811" i="15"/>
  <c r="BM806" i="15" l="1"/>
  <c r="BN807" i="15"/>
  <c r="BM805" i="15" l="1"/>
  <c r="BN805" i="15" s="1"/>
  <c r="BM804" i="15" s="1"/>
  <c r="BN804" i="15" s="1"/>
  <c r="BM803" i="15" s="1"/>
  <c r="BN803" i="15" s="1"/>
  <c r="BM802" i="15" s="1"/>
  <c r="BN802" i="15" s="1"/>
  <c r="BM801" i="15" s="1"/>
  <c r="BN801" i="15" s="1"/>
  <c r="BM800" i="15" s="1"/>
  <c r="BN800" i="15" s="1"/>
  <c r="BM799" i="15" s="1"/>
  <c r="BN799" i="15" s="1"/>
  <c r="BM798" i="15" s="1"/>
  <c r="BN798" i="15" s="1"/>
  <c r="BM797" i="15" s="1"/>
  <c r="BN806" i="15"/>
  <c r="BM796" i="15" l="1"/>
  <c r="BN797" i="15"/>
  <c r="BM795" i="15" l="1"/>
  <c r="BN796" i="15"/>
  <c r="BM794" i="15" l="1"/>
  <c r="BN794" i="15" s="1"/>
  <c r="BM793" i="15" s="1"/>
  <c r="BN793" i="15" s="1"/>
  <c r="BM792" i="15" s="1"/>
  <c r="BN792" i="15" s="1"/>
  <c r="BM791" i="15" s="1"/>
  <c r="BN791" i="15" s="1"/>
  <c r="BM790" i="15" s="1"/>
  <c r="BN790" i="15" s="1"/>
  <c r="BM789" i="15" s="1"/>
  <c r="BN789" i="15" s="1"/>
  <c r="BM788" i="15" s="1"/>
  <c r="BN788" i="15" s="1"/>
  <c r="BM787" i="15" s="1"/>
  <c r="BN787" i="15" s="1"/>
  <c r="BM786" i="15" s="1"/>
  <c r="BN786" i="15" s="1"/>
  <c r="BM785" i="15" s="1"/>
  <c r="BN785" i="15" s="1"/>
  <c r="BM784" i="15" s="1"/>
  <c r="BN784" i="15" s="1"/>
  <c r="BM783" i="15" s="1"/>
  <c r="BN783" i="15" s="1"/>
  <c r="BM836" i="15" s="1"/>
  <c r="BN795" i="15"/>
  <c r="BM833" i="15" l="1"/>
  <c r="BN835" i="15"/>
  <c r="BN836" i="15"/>
  <c r="BM823" i="15" l="1"/>
  <c r="BN832" i="15"/>
  <c r="BN833" i="15"/>
  <c r="BM820" i="15" l="1"/>
  <c r="BN822" i="15"/>
  <c r="BN823" i="15"/>
  <c r="BM815" i="15" l="1"/>
  <c r="BN820" i="15"/>
  <c r="BN819" i="15"/>
  <c r="BM828" i="15" l="1"/>
  <c r="BN814" i="15"/>
  <c r="BN815" i="15"/>
  <c r="BM782" i="15" l="1"/>
  <c r="BN782" i="15" s="1"/>
  <c r="BM781" i="15" s="1"/>
  <c r="BN781" i="15" s="1"/>
  <c r="BM780" i="15" s="1"/>
  <c r="BN780" i="15" s="1"/>
  <c r="BM779" i="15" s="1"/>
  <c r="BN779" i="15" s="1"/>
  <c r="BM778" i="15" s="1"/>
  <c r="BN778" i="15" s="1"/>
  <c r="BM777" i="15" s="1"/>
  <c r="BN828" i="15"/>
  <c r="BN827" i="15"/>
  <c r="BM776" i="15" l="1"/>
  <c r="BN777" i="15"/>
  <c r="BM775" i="15" l="1"/>
  <c r="BN775" i="15" s="1"/>
  <c r="BM774" i="15" s="1"/>
  <c r="BN774" i="15" s="1"/>
  <c r="BM773" i="15" s="1"/>
  <c r="BN773" i="15" s="1"/>
  <c r="BM772" i="15" s="1"/>
  <c r="BN772" i="15" s="1"/>
  <c r="BM771" i="15" s="1"/>
  <c r="BN771" i="15" s="1"/>
  <c r="BM770" i="15" s="1"/>
  <c r="BN770" i="15" s="1"/>
  <c r="BM769" i="15" s="1"/>
  <c r="BN769" i="15" s="1"/>
  <c r="BM768" i="15" s="1"/>
  <c r="BN776" i="15"/>
  <c r="BM767" i="15" l="1"/>
  <c r="BN768" i="15"/>
  <c r="BM766" i="15" l="1"/>
  <c r="BN766" i="15" s="1"/>
  <c r="BM765" i="15" s="1"/>
  <c r="BN765" i="15" s="1"/>
  <c r="BM764" i="15" s="1"/>
  <c r="BN764" i="15" s="1"/>
  <c r="BM763" i="15" s="1"/>
  <c r="BN763" i="15" s="1"/>
  <c r="BM762" i="15" s="1"/>
  <c r="BN762" i="15" s="1"/>
  <c r="BM761" i="15" s="1"/>
  <c r="BN761" i="15" s="1"/>
  <c r="BM760" i="15" s="1"/>
  <c r="BN760" i="15" s="1"/>
  <c r="BM759" i="15" s="1"/>
  <c r="BN767" i="15"/>
  <c r="BM758" i="15" l="1"/>
  <c r="BN759" i="15"/>
  <c r="BM757" i="15" l="1"/>
  <c r="BN757" i="15" s="1"/>
  <c r="BM756" i="15" s="1"/>
  <c r="BN756" i="15" s="1"/>
  <c r="BM755" i="15" s="1"/>
  <c r="BN755" i="15" s="1"/>
  <c r="BM754" i="15" s="1"/>
  <c r="BN754" i="15" s="1"/>
  <c r="BM753" i="15" s="1"/>
  <c r="BN758" i="15"/>
  <c r="BM752" i="15" l="1"/>
  <c r="BN753" i="15"/>
  <c r="BM751" i="15" l="1"/>
  <c r="BN751" i="15" s="1"/>
  <c r="BM750" i="15" s="1"/>
  <c r="BN750" i="15" s="1"/>
  <c r="BM749" i="15" s="1"/>
  <c r="BN749" i="15" s="1"/>
  <c r="BM748" i="15" s="1"/>
  <c r="BN752" i="15"/>
  <c r="BM747" i="15" l="1"/>
  <c r="BN748" i="15"/>
  <c r="BM746" i="15" l="1"/>
  <c r="BN746" i="15" s="1"/>
  <c r="BM745" i="15" s="1"/>
  <c r="BN745" i="15" s="1"/>
  <c r="BM744" i="15" s="1"/>
  <c r="BN744" i="15" s="1"/>
  <c r="BM743" i="15" s="1"/>
  <c r="BN743" i="15" s="1"/>
  <c r="BM742" i="15" s="1"/>
  <c r="BN742" i="15" s="1"/>
  <c r="BM741" i="15" s="1"/>
  <c r="BN741" i="15" s="1"/>
  <c r="BM740" i="15" s="1"/>
  <c r="BN740" i="15" s="1"/>
  <c r="BM739" i="15" s="1"/>
  <c r="BN747" i="15"/>
  <c r="BM738" i="15" l="1"/>
  <c r="BN739" i="15"/>
  <c r="BM737" i="15" l="1"/>
  <c r="BN737" i="15" s="1"/>
  <c r="BM736" i="15" s="1"/>
  <c r="BN736" i="15" s="1"/>
  <c r="BM735" i="15" s="1"/>
  <c r="BN738" i="15"/>
  <c r="BN735" i="15" l="1"/>
  <c r="BM733" i="15" s="1"/>
  <c r="BN734" i="15"/>
  <c r="BM732" i="15" l="1"/>
  <c r="BN732" i="15" s="1"/>
  <c r="BM731" i="15" s="1"/>
  <c r="BN731" i="15" s="1"/>
  <c r="BM730" i="15" s="1"/>
  <c r="BN730" i="15" s="1"/>
  <c r="BM729" i="15" s="1"/>
  <c r="BN729" i="15" s="1"/>
  <c r="BM728" i="15" s="1"/>
  <c r="BN728" i="15" s="1"/>
  <c r="BM727" i="15" s="1"/>
  <c r="BN727" i="15" s="1"/>
  <c r="BM726" i="15" s="1"/>
  <c r="BN726" i="15" s="1"/>
  <c r="BM725" i="15" s="1"/>
  <c r="BN725" i="15" s="1"/>
  <c r="BM724" i="15" s="1"/>
  <c r="BN724" i="15" s="1"/>
  <c r="BM723" i="15" s="1"/>
  <c r="BN723" i="15" s="1"/>
  <c r="BM722" i="15" s="1"/>
  <c r="BN722" i="15" s="1"/>
  <c r="BM721" i="15" s="1"/>
  <c r="BN721" i="15" s="1"/>
  <c r="BM720" i="15" s="1"/>
  <c r="BN720" i="15" s="1"/>
  <c r="BM719" i="15" s="1"/>
  <c r="BN733" i="15"/>
  <c r="BM718" i="15" l="1"/>
  <c r="BN719" i="15"/>
  <c r="BM717" i="15" l="1"/>
  <c r="BN718" i="15"/>
  <c r="BM716" i="15" l="1"/>
  <c r="BN716" i="15" s="1"/>
  <c r="BM715" i="15" s="1"/>
  <c r="BN715" i="15" s="1"/>
  <c r="BM714" i="15" s="1"/>
  <c r="BN714" i="15" s="1"/>
  <c r="BM713" i="15" s="1"/>
  <c r="BN713" i="15" s="1"/>
  <c r="BM712" i="15" s="1"/>
  <c r="BN712" i="15" s="1"/>
  <c r="BM711" i="15" s="1"/>
  <c r="BN711" i="15" s="1"/>
  <c r="BM710" i="15" s="1"/>
  <c r="BN710" i="15" s="1"/>
  <c r="BM695" i="15" s="1"/>
  <c r="BN717" i="15"/>
  <c r="BM679" i="15" l="1"/>
  <c r="BN695" i="15"/>
  <c r="BN694" i="15"/>
  <c r="BM678" i="15" l="1"/>
  <c r="BN678" i="15" s="1"/>
  <c r="BM677" i="15" s="1"/>
  <c r="BN677" i="15" s="1"/>
  <c r="BM676" i="15" s="1"/>
  <c r="BN676" i="15" s="1"/>
  <c r="BM675" i="15" s="1"/>
  <c r="BN675" i="15" s="1"/>
  <c r="BM674" i="15" s="1"/>
  <c r="BN674" i="15" s="1"/>
  <c r="BM673" i="15" s="1"/>
  <c r="BN673" i="15" s="1"/>
  <c r="BM672" i="15" s="1"/>
  <c r="BN672" i="15" s="1"/>
  <c r="BM671" i="15" s="1"/>
  <c r="BN671" i="15" s="1"/>
  <c r="BM670" i="15" s="1"/>
  <c r="BN670" i="15" s="1"/>
  <c r="BM669" i="15" s="1"/>
  <c r="BN669" i="15" s="1"/>
  <c r="BM668" i="15" s="1"/>
  <c r="BN668" i="15" s="1"/>
  <c r="BM667" i="15" s="1"/>
  <c r="BN667" i="15" s="1"/>
  <c r="BM666" i="15" s="1"/>
  <c r="BN666" i="15" s="1"/>
  <c r="BM665" i="15" s="1"/>
  <c r="BN665" i="15" s="1"/>
  <c r="BM664" i="15" s="1"/>
  <c r="BN664" i="15" s="1"/>
  <c r="BM663" i="15" s="1"/>
  <c r="BN663" i="15" s="1"/>
  <c r="BM662" i="15" s="1"/>
  <c r="BN662" i="15" s="1"/>
  <c r="BM661" i="15" s="1"/>
  <c r="BN661" i="15" s="1"/>
  <c r="BM660" i="15" s="1"/>
  <c r="BN660" i="15" s="1"/>
  <c r="BM659" i="15" s="1"/>
  <c r="BN659" i="15" s="1"/>
  <c r="BM658" i="15" s="1"/>
  <c r="BN658" i="15" s="1"/>
  <c r="BM657" i="15" s="1"/>
  <c r="BN657" i="15" s="1"/>
  <c r="BM656" i="15" s="1"/>
  <c r="BN656" i="15" s="1"/>
  <c r="BM655" i="15" s="1"/>
  <c r="BN655" i="15" s="1"/>
  <c r="BM654" i="15" s="1"/>
  <c r="BN654" i="15" s="1"/>
  <c r="BM653" i="15" s="1"/>
  <c r="BN653" i="15" s="1"/>
  <c r="BM652" i="15" s="1"/>
  <c r="BN652" i="15" s="1"/>
  <c r="BM651" i="15" s="1"/>
  <c r="BN651" i="15" s="1"/>
  <c r="BM650" i="15" s="1"/>
  <c r="BN679" i="15"/>
  <c r="BM649" i="15" l="1"/>
  <c r="BN650" i="15"/>
  <c r="BM648" i="15" l="1"/>
  <c r="BN648" i="15" s="1"/>
  <c r="BM647" i="15" s="1"/>
  <c r="BN647" i="15" s="1"/>
  <c r="BM646" i="15" s="1"/>
  <c r="BN646" i="15" s="1"/>
  <c r="BM645" i="15" s="1"/>
  <c r="BN645" i="15" s="1"/>
  <c r="BM644" i="15" s="1"/>
  <c r="BN644" i="15" s="1"/>
  <c r="BM643" i="15" s="1"/>
  <c r="BN643" i="15" s="1"/>
  <c r="BM642" i="15" s="1"/>
  <c r="BN642" i="15" s="1"/>
  <c r="BM641" i="15" s="1"/>
  <c r="BN641" i="15" s="1"/>
  <c r="BM640" i="15" s="1"/>
  <c r="BN640" i="15" s="1"/>
  <c r="BM639" i="15" s="1"/>
  <c r="BN639" i="15" s="1"/>
  <c r="BM638" i="15" s="1"/>
  <c r="BN638" i="15" s="1"/>
  <c r="BM637" i="15" s="1"/>
  <c r="BN637" i="15" s="1"/>
  <c r="BM636" i="15" s="1"/>
  <c r="BN636" i="15" s="1"/>
  <c r="BM635" i="15" s="1"/>
  <c r="BN635" i="15" s="1"/>
  <c r="BM634" i="15" s="1"/>
  <c r="BN634" i="15" s="1"/>
  <c r="BM633" i="15" s="1"/>
  <c r="BN633" i="15" s="1"/>
  <c r="BM632" i="15" s="1"/>
  <c r="BN649" i="15"/>
  <c r="BN632" i="15" l="1"/>
  <c r="BM709" i="15" s="1"/>
  <c r="BN631" i="15"/>
  <c r="BN709" i="15" l="1"/>
  <c r="BM687" i="15" s="1"/>
  <c r="BN708" i="15"/>
  <c r="BM625" i="15" l="1"/>
  <c r="BN687" i="15"/>
  <c r="BN686" i="15"/>
  <c r="BM624" i="15" l="1"/>
  <c r="BN624" i="15" s="1"/>
  <c r="BM623" i="15" s="1"/>
  <c r="BN625" i="15"/>
  <c r="BN623" i="15" l="1"/>
  <c r="BM621" i="15" s="1"/>
  <c r="BN622" i="15"/>
  <c r="BM620" i="15" l="1"/>
  <c r="BN620" i="15" s="1"/>
  <c r="BM619" i="15" s="1"/>
  <c r="BN619" i="15" s="1"/>
  <c r="BM618" i="15" s="1"/>
  <c r="BN618" i="15" s="1"/>
  <c r="BM617" i="15" s="1"/>
  <c r="BN617" i="15" s="1"/>
  <c r="BM616" i="15" s="1"/>
  <c r="BN616" i="15" s="1"/>
  <c r="BM615" i="15" s="1"/>
  <c r="BN615" i="15" s="1"/>
  <c r="BM614" i="15" s="1"/>
  <c r="BN621" i="15"/>
  <c r="BM612" i="15" l="1"/>
  <c r="BN614" i="15"/>
  <c r="BN613" i="15"/>
  <c r="BM611" i="15" l="1"/>
  <c r="BN612" i="15"/>
  <c r="BN611" i="15" l="1"/>
  <c r="BM609" i="15" s="1"/>
  <c r="BN610" i="15"/>
  <c r="BM608" i="15" l="1"/>
  <c r="BN609" i="15"/>
  <c r="BM607" i="15" l="1"/>
  <c r="BN608" i="15"/>
  <c r="BM605" i="15" l="1"/>
  <c r="BN607" i="15"/>
  <c r="BN606" i="15"/>
  <c r="BM604" i="15" l="1"/>
  <c r="BN604" i="15" s="1"/>
  <c r="BM603" i="15" s="1"/>
  <c r="BN603" i="15" s="1"/>
  <c r="BM602" i="15" s="1"/>
  <c r="BN602" i="15" s="1"/>
  <c r="BM601" i="15" s="1"/>
  <c r="BN605" i="15"/>
  <c r="BN601" i="15" l="1"/>
  <c r="BM599" i="15" s="1"/>
  <c r="BN600" i="15"/>
  <c r="BM598" i="15" l="1"/>
  <c r="BN598" i="15" s="1"/>
  <c r="BM597" i="15" s="1"/>
  <c r="BN599" i="15"/>
  <c r="BM596" i="15" l="1"/>
  <c r="BN597" i="15"/>
  <c r="BN596" i="15" l="1"/>
  <c r="BM594" i="15" s="1"/>
  <c r="BN595" i="15"/>
  <c r="BM593" i="15" l="1"/>
  <c r="BN594" i="15"/>
  <c r="BM592" i="15" l="1"/>
  <c r="BN593" i="15"/>
  <c r="BM591" i="15" l="1"/>
  <c r="BN592" i="15"/>
  <c r="BM590" i="15" l="1"/>
  <c r="BN591" i="15"/>
  <c r="BM589" i="15" l="1"/>
  <c r="BN589" i="15" s="1"/>
  <c r="BM588" i="15" s="1"/>
  <c r="BN588" i="15" s="1"/>
  <c r="BM587" i="15" s="1"/>
  <c r="BN587" i="15" s="1"/>
  <c r="BM586" i="15" s="1"/>
  <c r="BN590" i="15"/>
  <c r="BM585" i="15" l="1"/>
  <c r="BN586" i="15"/>
  <c r="BM584" i="15" l="1"/>
  <c r="BN584" i="15" s="1"/>
  <c r="BM583" i="15" s="1"/>
  <c r="BN583" i="15" s="1"/>
  <c r="BM582" i="15" s="1"/>
  <c r="BN582" i="15" s="1"/>
  <c r="BM581" i="15" s="1"/>
  <c r="BN581" i="15" s="1"/>
  <c r="BM580" i="15" s="1"/>
  <c r="BN580" i="15" s="1"/>
  <c r="BM579" i="15" s="1"/>
  <c r="BN585" i="15"/>
  <c r="BN579" i="15" l="1"/>
  <c r="BM555" i="15" s="1"/>
  <c r="BN578" i="15"/>
  <c r="BM554" i="15" l="1"/>
  <c r="BN554" i="15" s="1"/>
  <c r="BM553" i="15" s="1"/>
  <c r="BN553" i="15" s="1"/>
  <c r="BM552" i="15" s="1"/>
  <c r="BN552" i="15" s="1"/>
  <c r="BM551" i="15" s="1"/>
  <c r="BN551" i="15" s="1"/>
  <c r="BM550" i="15" s="1"/>
  <c r="BN550" i="15" s="1"/>
  <c r="BM549" i="15" s="1"/>
  <c r="BN549" i="15" s="1"/>
  <c r="BM548" i="15" s="1"/>
  <c r="BN548" i="15" s="1"/>
  <c r="BM547" i="15" s="1"/>
  <c r="BN555" i="15"/>
  <c r="BM546" i="15" l="1"/>
  <c r="BN547" i="15"/>
  <c r="BM545" i="15" l="1"/>
  <c r="BN545" i="15" s="1"/>
  <c r="BM544" i="15" s="1"/>
  <c r="BN544" i="15" s="1"/>
  <c r="BM543" i="15" s="1"/>
  <c r="BN543" i="15" s="1"/>
  <c r="BM542" i="15" s="1"/>
  <c r="BN542" i="15" s="1"/>
  <c r="BM541" i="15" s="1"/>
  <c r="BN541" i="15" s="1"/>
  <c r="BM540" i="15" s="1"/>
  <c r="BN540" i="15" s="1"/>
  <c r="BM539" i="15" s="1"/>
  <c r="BN539" i="15" s="1"/>
  <c r="BM538" i="15" s="1"/>
  <c r="BN538" i="15" s="1"/>
  <c r="BM537" i="15" s="1"/>
  <c r="BN546" i="15"/>
  <c r="BM536" i="15" l="1"/>
  <c r="BN537" i="15"/>
  <c r="BM535" i="15" l="1"/>
  <c r="BN535" i="15" s="1"/>
  <c r="BM534" i="15" s="1"/>
  <c r="BN534" i="15" s="1"/>
  <c r="BM533" i="15" s="1"/>
  <c r="BN533" i="15" s="1"/>
  <c r="BM532" i="15" s="1"/>
  <c r="BN532" i="15" s="1"/>
  <c r="BM531" i="15" s="1"/>
  <c r="BN531" i="15" s="1"/>
  <c r="BM530" i="15" s="1"/>
  <c r="BN536" i="15"/>
  <c r="BM529" i="15" l="1"/>
  <c r="BN530" i="15"/>
  <c r="BM528" i="15" l="1"/>
  <c r="BN528" i="15" s="1"/>
  <c r="BM527" i="15" s="1"/>
  <c r="BN527" i="15" s="1"/>
  <c r="BM526" i="15" s="1"/>
  <c r="BN526" i="15" s="1"/>
  <c r="BM525" i="15" s="1"/>
  <c r="BN525" i="15" s="1"/>
  <c r="BM524" i="15" s="1"/>
  <c r="BN524" i="15" s="1"/>
  <c r="BM523" i="15" s="1"/>
  <c r="BN523" i="15" s="1"/>
  <c r="BM522" i="15" s="1"/>
  <c r="BN522" i="15" s="1"/>
  <c r="BM521" i="15" s="1"/>
  <c r="BN521" i="15" s="1"/>
  <c r="BM520" i="15" s="1"/>
  <c r="BN520" i="15" s="1"/>
  <c r="BM519" i="15" s="1"/>
  <c r="BN519" i="15" s="1"/>
  <c r="BM518" i="15" s="1"/>
  <c r="BN529" i="15"/>
  <c r="BM517" i="15" l="1"/>
  <c r="BN518" i="15"/>
  <c r="BM516" i="15" l="1"/>
  <c r="BN516" i="15" s="1"/>
  <c r="BM515" i="15" s="1"/>
  <c r="BN515" i="15" s="1"/>
  <c r="BM514" i="15" s="1"/>
  <c r="BN514" i="15" s="1"/>
  <c r="BM513" i="15" s="1"/>
  <c r="BN513" i="15" s="1"/>
  <c r="BM512" i="15" s="1"/>
  <c r="BN512" i="15" s="1"/>
  <c r="BM511" i="15" s="1"/>
  <c r="BN517" i="15"/>
  <c r="BN511" i="15" l="1"/>
  <c r="BM569" i="15" s="1"/>
  <c r="BN510" i="15"/>
  <c r="BM504" i="15" l="1"/>
  <c r="BN569" i="15"/>
  <c r="BN568" i="15"/>
  <c r="BM483" i="15" l="1"/>
  <c r="BN504" i="15"/>
  <c r="BN503" i="15"/>
  <c r="BM482" i="15" l="1"/>
  <c r="BN483" i="15"/>
  <c r="BM481" i="15" l="1"/>
  <c r="BN482" i="15"/>
  <c r="BM480" i="15" l="1"/>
  <c r="BN480" i="15" s="1"/>
  <c r="BM479" i="15" s="1"/>
  <c r="BN481" i="15"/>
  <c r="BM478" i="15" l="1"/>
  <c r="BN479" i="15"/>
  <c r="BM477" i="15" l="1"/>
  <c r="BN477" i="15" s="1"/>
  <c r="BM476" i="15" s="1"/>
  <c r="BN476" i="15" s="1"/>
  <c r="BM475" i="15" s="1"/>
  <c r="BN478" i="15"/>
  <c r="BM474" i="15" l="1"/>
  <c r="BN475" i="15"/>
  <c r="BM473" i="15" l="1"/>
  <c r="BN473" i="15" s="1"/>
  <c r="BM472" i="15" s="1"/>
  <c r="BN472" i="15" s="1"/>
  <c r="BM471" i="15" s="1"/>
  <c r="BN471" i="15" s="1"/>
  <c r="BM470" i="15" s="1"/>
  <c r="BN470" i="15" s="1"/>
  <c r="BM469" i="15" s="1"/>
  <c r="BN474" i="15"/>
  <c r="BM468" i="15" l="1"/>
  <c r="BN469" i="15"/>
  <c r="BM467" i="15" l="1"/>
  <c r="BN467" i="15" s="1"/>
  <c r="BM466" i="15" s="1"/>
  <c r="BN466" i="15" s="1"/>
  <c r="BM465" i="15" s="1"/>
  <c r="BN465" i="15" s="1"/>
  <c r="BM464" i="15" s="1"/>
  <c r="BN464" i="15" s="1"/>
  <c r="BM463" i="15" s="1"/>
  <c r="BN463" i="15" s="1"/>
  <c r="BM462" i="15" s="1"/>
  <c r="BN462" i="15" s="1"/>
  <c r="BM461" i="15" s="1"/>
  <c r="BN461" i="15" s="1"/>
  <c r="BM460" i="15" s="1"/>
  <c r="BN460" i="15" s="1"/>
  <c r="BM459" i="15" s="1"/>
  <c r="BN459" i="15" s="1"/>
  <c r="BM458" i="15" s="1"/>
  <c r="BN458" i="15" s="1"/>
  <c r="BM457" i="15" s="1"/>
  <c r="BN457" i="15" s="1"/>
  <c r="BM456" i="15" s="1"/>
  <c r="BN456" i="15" s="1"/>
  <c r="BM455" i="15" s="1"/>
  <c r="BN468" i="15"/>
  <c r="BM454" i="15" l="1"/>
  <c r="BN455" i="15"/>
  <c r="BM453" i="15" l="1"/>
  <c r="BN453" i="15" s="1"/>
  <c r="BM452" i="15" s="1"/>
  <c r="BN452" i="15" s="1"/>
  <c r="BM451" i="15" s="1"/>
  <c r="BN451" i="15" s="1"/>
  <c r="BM450" i="15" s="1"/>
  <c r="BN450" i="15" s="1"/>
  <c r="BM449" i="15" s="1"/>
  <c r="BN449" i="15" s="1"/>
  <c r="BM448" i="15" s="1"/>
  <c r="BN448" i="15" s="1"/>
  <c r="BM447" i="15" s="1"/>
  <c r="BN447" i="15" s="1"/>
  <c r="BM446" i="15" s="1"/>
  <c r="BN446" i="15" s="1"/>
  <c r="BM445" i="15" s="1"/>
  <c r="BN445" i="15" s="1"/>
  <c r="BM444" i="15" s="1"/>
  <c r="BN444" i="15" s="1"/>
  <c r="BM443" i="15" s="1"/>
  <c r="BN443" i="15" s="1"/>
  <c r="BM442" i="15" s="1"/>
  <c r="BN442" i="15" s="1"/>
  <c r="BM441" i="15" s="1"/>
  <c r="BN441" i="15" s="1"/>
  <c r="BM440" i="15" s="1"/>
  <c r="BN440" i="15" s="1"/>
  <c r="BM439" i="15" s="1"/>
  <c r="BN439" i="15" s="1"/>
  <c r="BM438" i="15" s="1"/>
  <c r="BN438" i="15" s="1"/>
  <c r="BM437" i="15" s="1"/>
  <c r="BN454" i="15"/>
  <c r="BM436" i="15" l="1"/>
  <c r="BN437" i="15"/>
  <c r="BM435" i="15" l="1"/>
  <c r="BN435" i="15" s="1"/>
  <c r="BM434" i="15" s="1"/>
  <c r="BN434" i="15" s="1"/>
  <c r="BM433" i="15" s="1"/>
  <c r="BN433" i="15" s="1"/>
  <c r="BM432" i="15" s="1"/>
  <c r="BN432" i="15" s="1"/>
  <c r="BM431" i="15" s="1"/>
  <c r="BN431" i="15" s="1"/>
  <c r="BM430" i="15" s="1"/>
  <c r="BN430" i="15" s="1"/>
  <c r="BM429" i="15" s="1"/>
  <c r="BN429" i="15" s="1"/>
  <c r="BM428" i="15" s="1"/>
  <c r="BN428" i="15" s="1"/>
  <c r="BM427" i="15" s="1"/>
  <c r="BN427" i="15" s="1"/>
  <c r="BM426" i="15" s="1"/>
  <c r="BN426" i="15" s="1"/>
  <c r="BM425" i="15" s="1"/>
  <c r="BN425" i="15" s="1"/>
  <c r="BM424" i="15" s="1"/>
  <c r="BN424" i="15" s="1"/>
  <c r="BM423" i="15" s="1"/>
  <c r="BN423" i="15" s="1"/>
  <c r="BM422" i="15" s="1"/>
  <c r="BN422" i="15" s="1"/>
  <c r="BM421" i="15" s="1"/>
  <c r="BN436" i="15"/>
  <c r="BN421" i="15" l="1"/>
  <c r="BM387" i="15" s="1"/>
  <c r="BN420" i="15"/>
  <c r="BM386" i="15" l="1"/>
  <c r="BN386" i="15" s="1"/>
  <c r="BM385" i="15" s="1"/>
  <c r="BN385" i="15" s="1"/>
  <c r="BM384" i="15" s="1"/>
  <c r="BN384" i="15" s="1"/>
  <c r="BM383" i="15" s="1"/>
  <c r="BN383" i="15" s="1"/>
  <c r="BM382" i="15" s="1"/>
  <c r="BN382" i="15" s="1"/>
  <c r="BM381" i="15" s="1"/>
  <c r="BN381" i="15" s="1"/>
  <c r="BM380" i="15" s="1"/>
  <c r="BN380" i="15" s="1"/>
  <c r="BM379" i="15" s="1"/>
  <c r="BN379" i="15" s="1"/>
  <c r="BM378" i="15" s="1"/>
  <c r="BN378" i="15" s="1"/>
  <c r="BM377" i="15" s="1"/>
  <c r="BN387" i="15"/>
  <c r="BM376" i="15" l="1"/>
  <c r="BN377" i="15"/>
  <c r="BM375" i="15" l="1"/>
  <c r="BN375" i="15" s="1"/>
  <c r="BM374" i="15" s="1"/>
  <c r="BN374" i="15" s="1"/>
  <c r="BM418" i="15" s="1"/>
  <c r="BN376" i="15"/>
  <c r="BM416" i="15" l="1"/>
  <c r="BN417" i="15"/>
  <c r="BN418" i="15"/>
  <c r="BM373" i="15" l="1"/>
  <c r="BN416" i="15"/>
  <c r="BN415" i="15"/>
  <c r="BN373" i="15" l="1"/>
  <c r="BM343" i="15" s="1"/>
  <c r="BN372" i="15"/>
  <c r="BM320" i="15" l="1"/>
  <c r="BN342" i="15"/>
  <c r="BN343" i="15"/>
  <c r="BM319" i="15" l="1"/>
  <c r="BN319" i="15" s="1"/>
  <c r="BM318" i="15" s="1"/>
  <c r="BN318" i="15" s="1"/>
  <c r="BM317" i="15" s="1"/>
  <c r="BN317" i="15" s="1"/>
  <c r="BM316" i="15" s="1"/>
  <c r="BN316" i="15" s="1"/>
  <c r="BM315" i="15" s="1"/>
  <c r="BN320" i="15"/>
  <c r="BM314" i="15" l="1"/>
  <c r="BN315" i="15"/>
  <c r="BM313" i="15" l="1"/>
  <c r="BN313" i="15" s="1"/>
  <c r="BM312" i="15" s="1"/>
  <c r="BN312" i="15" s="1"/>
  <c r="BM311" i="15" s="1"/>
  <c r="BN311" i="15" s="1"/>
  <c r="BM310" i="15" s="1"/>
  <c r="BN314" i="15"/>
  <c r="BM309" i="15" l="1"/>
  <c r="BN310" i="15"/>
  <c r="BM308" i="15" l="1"/>
  <c r="BN308" i="15" s="1"/>
  <c r="BM307" i="15" s="1"/>
  <c r="BN307" i="15" s="1"/>
  <c r="BM306" i="15" s="1"/>
  <c r="BN306" i="15" s="1"/>
  <c r="BM305" i="15" s="1"/>
  <c r="BN305" i="15" s="1"/>
  <c r="BM304" i="15" s="1"/>
  <c r="BN304" i="15" s="1"/>
  <c r="BM303" i="15" s="1"/>
  <c r="BN303" i="15" s="1"/>
  <c r="BM302" i="15" s="1"/>
  <c r="BN302" i="15" s="1"/>
  <c r="BM301" i="15" s="1"/>
  <c r="BN301" i="15" s="1"/>
  <c r="BM300" i="15" s="1"/>
  <c r="BN300" i="15" s="1"/>
  <c r="BM299" i="15" s="1"/>
  <c r="BN299" i="15" s="1"/>
  <c r="BM298" i="15" s="1"/>
  <c r="BN298" i="15" s="1"/>
  <c r="BM297" i="15" s="1"/>
  <c r="BN297" i="15" s="1"/>
  <c r="BM296" i="15" s="1"/>
  <c r="BN296" i="15" s="1"/>
  <c r="BM295" i="15" s="1"/>
  <c r="BN295" i="15" s="1"/>
  <c r="BM294" i="15" s="1"/>
  <c r="BN294" i="15" s="1"/>
  <c r="BM293" i="15" s="1"/>
  <c r="BN309" i="15"/>
  <c r="BM292" i="15" l="1"/>
  <c r="BN293" i="15"/>
  <c r="BM291" i="15" l="1"/>
  <c r="BN291" i="15" s="1"/>
  <c r="BM290" i="15" s="1"/>
  <c r="BN292" i="15"/>
  <c r="BM289" i="15" l="1"/>
  <c r="BN290" i="15"/>
  <c r="BM288" i="15" l="1"/>
  <c r="BN288" i="15" s="1"/>
  <c r="BM287" i="15" s="1"/>
  <c r="BN287" i="15" s="1"/>
  <c r="BM286" i="15" s="1"/>
  <c r="BN289" i="15"/>
  <c r="BM285" i="15" l="1"/>
  <c r="BN286" i="15"/>
  <c r="BM284" i="15" l="1"/>
  <c r="BN284" i="15" s="1"/>
  <c r="BM283" i="15" s="1"/>
  <c r="BN283" i="15" s="1"/>
  <c r="BM282" i="15" s="1"/>
  <c r="BN282" i="15" s="1"/>
  <c r="BM281" i="15" s="1"/>
  <c r="BN281" i="15" s="1"/>
  <c r="BM280" i="15" s="1"/>
  <c r="BN280" i="15" s="1"/>
  <c r="BM279" i="15" s="1"/>
  <c r="BN279" i="15" s="1"/>
  <c r="BM278" i="15" s="1"/>
  <c r="BN278" i="15" s="1"/>
  <c r="BM277" i="15" s="1"/>
  <c r="BN277" i="15" s="1"/>
  <c r="BM276" i="15" s="1"/>
  <c r="BN276" i="15" s="1"/>
  <c r="BM275" i="15" s="1"/>
  <c r="BN275" i="15" s="1"/>
  <c r="BM274" i="15" s="1"/>
  <c r="BN285" i="15"/>
  <c r="BM273" i="15" l="1"/>
  <c r="BN274" i="15"/>
  <c r="BM272" i="15" l="1"/>
  <c r="BN272" i="15" s="1"/>
  <c r="BM271" i="15" s="1"/>
  <c r="BN271" i="15" s="1"/>
  <c r="BM270" i="15" s="1"/>
  <c r="BN273" i="15"/>
  <c r="BM269" i="15" l="1"/>
  <c r="BN270" i="15"/>
  <c r="BM268" i="15" l="1"/>
  <c r="BN268" i="15" s="1"/>
  <c r="BM267" i="15" s="1"/>
  <c r="BN267" i="15" s="1"/>
  <c r="BM266" i="15" s="1"/>
  <c r="BN266" i="15" s="1"/>
  <c r="BM265" i="15" s="1"/>
  <c r="BN265" i="15" s="1"/>
  <c r="BM264" i="15" s="1"/>
  <c r="BN264" i="15" s="1"/>
  <c r="BM263" i="15" s="1"/>
  <c r="BN263" i="15" s="1"/>
  <c r="BM262" i="15" s="1"/>
  <c r="BN262" i="15" s="1"/>
  <c r="BM261" i="15" s="1"/>
  <c r="BN261" i="15" s="1"/>
  <c r="BM260" i="15" s="1"/>
  <c r="BN269" i="15"/>
  <c r="BM259" i="15" l="1"/>
  <c r="BN260" i="15"/>
  <c r="BM258" i="15" l="1"/>
  <c r="BN258" i="15" s="1"/>
  <c r="BM257" i="15" s="1"/>
  <c r="BN257" i="15" s="1"/>
  <c r="BM256" i="15" s="1"/>
  <c r="BN256" i="15" s="1"/>
  <c r="BM255" i="15" s="1"/>
  <c r="BN255" i="15" s="1"/>
  <c r="BM254" i="15" s="1"/>
  <c r="BN254" i="15" s="1"/>
  <c r="BM253" i="15" s="1"/>
  <c r="BN259" i="15"/>
  <c r="BM252" i="15" l="1"/>
  <c r="BN253" i="15"/>
  <c r="BM251" i="15" l="1"/>
  <c r="BN251" i="15" s="1"/>
  <c r="BM250" i="15" s="1"/>
  <c r="BN250" i="15" s="1"/>
  <c r="BM249" i="15" s="1"/>
  <c r="BN249" i="15" s="1"/>
  <c r="BM248" i="15" s="1"/>
  <c r="BN248" i="15" s="1"/>
  <c r="BM247" i="15" s="1"/>
  <c r="BN247" i="15" s="1"/>
  <c r="BM246" i="15" s="1"/>
  <c r="BN246" i="15" s="1"/>
  <c r="BM245" i="15" s="1"/>
  <c r="BN245" i="15" s="1"/>
  <c r="BM244" i="15" s="1"/>
  <c r="BN252" i="15"/>
  <c r="BM243" i="15" l="1"/>
  <c r="BN244" i="15"/>
  <c r="BM242" i="15" l="1"/>
  <c r="BN242" i="15" s="1"/>
  <c r="BM241" i="15" s="1"/>
  <c r="BN241" i="15" s="1"/>
  <c r="BM240" i="15" s="1"/>
  <c r="BN240" i="15" s="1"/>
  <c r="BM239" i="15" s="1"/>
  <c r="BN239" i="15" s="1"/>
  <c r="BM238" i="15" s="1"/>
  <c r="BN238" i="15" s="1"/>
  <c r="BM237" i="15" s="1"/>
  <c r="BN237" i="15" s="1"/>
  <c r="BM236" i="15" s="1"/>
  <c r="BN236" i="15" s="1"/>
  <c r="BM235" i="15" s="1"/>
  <c r="BN235" i="15" s="1"/>
  <c r="BM234" i="15" s="1"/>
  <c r="BN234" i="15" s="1"/>
  <c r="BM233" i="15" s="1"/>
  <c r="BN233" i="15" s="1"/>
  <c r="BM232" i="15" s="1"/>
  <c r="BN232" i="15" s="1"/>
  <c r="BM231" i="15" s="1"/>
  <c r="BN243" i="15"/>
  <c r="BM230" i="15" l="1"/>
  <c r="BN231" i="15"/>
  <c r="BM229" i="15" l="1"/>
  <c r="BN229" i="15" s="1"/>
  <c r="BM228" i="15" s="1"/>
  <c r="BN228" i="15" s="1"/>
  <c r="BM227" i="15" s="1"/>
  <c r="BN227" i="15" s="1"/>
  <c r="BM226" i="15" s="1"/>
  <c r="BN226" i="15" s="1"/>
  <c r="BM225" i="15" s="1"/>
  <c r="BN225" i="15" s="1"/>
  <c r="BM224" i="15" s="1"/>
  <c r="BN230" i="15"/>
  <c r="BN224" i="15" l="1"/>
  <c r="BM220" i="15" s="1"/>
  <c r="BN223" i="15"/>
  <c r="BM219" i="15" l="1"/>
  <c r="BN219" i="15" s="1"/>
  <c r="BM218" i="15" s="1"/>
  <c r="BN218" i="15" s="1"/>
  <c r="BM217" i="15" s="1"/>
  <c r="BN220" i="15"/>
  <c r="BM216" i="15" l="1"/>
  <c r="BN217" i="15"/>
  <c r="BM215" i="15" l="1"/>
  <c r="BN215" i="15" s="1"/>
  <c r="BM214" i="15" s="1"/>
  <c r="BN214" i="15" s="1"/>
  <c r="BM213" i="15" s="1"/>
  <c r="BN213" i="15" s="1"/>
  <c r="BM212" i="15" s="1"/>
  <c r="BN212" i="15" s="1"/>
  <c r="BM211" i="15" s="1"/>
  <c r="BN211" i="15" s="1"/>
  <c r="BM210" i="15" s="1"/>
  <c r="BN210" i="15" s="1"/>
  <c r="BM209" i="15" s="1"/>
  <c r="BN209" i="15" s="1"/>
  <c r="BM208" i="15" s="1"/>
  <c r="BN208" i="15" s="1"/>
  <c r="BM207" i="15" s="1"/>
  <c r="BN207" i="15" s="1"/>
  <c r="BM206" i="15" s="1"/>
  <c r="BN206" i="15" s="1"/>
  <c r="BM205" i="15" s="1"/>
  <c r="BN205" i="15" s="1"/>
  <c r="BM204" i="15" s="1"/>
  <c r="BN204" i="15" s="1"/>
  <c r="BM203" i="15" s="1"/>
  <c r="BN203" i="15" s="1"/>
  <c r="BM202" i="15" s="1"/>
  <c r="BN202" i="15" s="1"/>
  <c r="BM201" i="15" s="1"/>
  <c r="BN201" i="15" s="1"/>
  <c r="BM200" i="15" s="1"/>
  <c r="BN200" i="15" s="1"/>
  <c r="BM199" i="15" s="1"/>
  <c r="BN199" i="15" s="1"/>
  <c r="BM198" i="15" s="1"/>
  <c r="BN198" i="15" s="1"/>
  <c r="BM197" i="15" s="1"/>
  <c r="BN197" i="15" s="1"/>
  <c r="BM196" i="15" s="1"/>
  <c r="BN196" i="15" s="1"/>
  <c r="BM195" i="15" s="1"/>
  <c r="BN216" i="15"/>
  <c r="BM194" i="15" l="1"/>
  <c r="BN195" i="15"/>
  <c r="BM193" i="15" l="1"/>
  <c r="BN194" i="15"/>
  <c r="BM192" i="15" l="1"/>
  <c r="BN193" i="15"/>
  <c r="BM191" i="15" l="1"/>
  <c r="BN191" i="15" s="1"/>
  <c r="BM190" i="15" s="1"/>
  <c r="BN190" i="15" s="1"/>
  <c r="BM189" i="15" s="1"/>
  <c r="BN189" i="15" s="1"/>
  <c r="BM188" i="15" s="1"/>
  <c r="BN192" i="15"/>
  <c r="BM187" i="15" l="1"/>
  <c r="BN188" i="15"/>
  <c r="BM186" i="15" l="1"/>
  <c r="BN186" i="15" s="1"/>
  <c r="BM185" i="15" s="1"/>
  <c r="BN185" i="15" s="1"/>
  <c r="BM184" i="15" s="1"/>
  <c r="BN184" i="15" s="1"/>
  <c r="BM183" i="15" s="1"/>
  <c r="BN183" i="15" s="1"/>
  <c r="BM182" i="15" s="1"/>
  <c r="BN182" i="15" s="1"/>
  <c r="BM181" i="15" s="1"/>
  <c r="BN181" i="15" s="1"/>
  <c r="BM180" i="15" s="1"/>
  <c r="BN180" i="15" s="1"/>
  <c r="BM179" i="15" s="1"/>
  <c r="BN179" i="15" s="1"/>
  <c r="BM178" i="15" s="1"/>
  <c r="BN178" i="15" s="1"/>
  <c r="BM177" i="15" s="1"/>
  <c r="BN187" i="15"/>
  <c r="BM176" i="15" l="1"/>
  <c r="BN177" i="15"/>
  <c r="BM175" i="15" l="1"/>
  <c r="BN176" i="15"/>
  <c r="BM174" i="15" l="1"/>
  <c r="BN175" i="15"/>
  <c r="BM173" i="15" l="1"/>
  <c r="BN174" i="15"/>
  <c r="BM172" i="15" l="1"/>
  <c r="BN173" i="15"/>
  <c r="BM171" i="15" l="1"/>
  <c r="BN172" i="15"/>
  <c r="BM170" i="15" l="1"/>
  <c r="BN170" i="15" s="1"/>
  <c r="BM169" i="15" s="1"/>
  <c r="BN169" i="15" s="1"/>
  <c r="BM168" i="15" s="1"/>
  <c r="BN168" i="15" s="1"/>
  <c r="BM167" i="15" s="1"/>
  <c r="BN167" i="15" s="1"/>
  <c r="BM166" i="15" s="1"/>
  <c r="BN166" i="15" s="1"/>
  <c r="BM165" i="15" s="1"/>
  <c r="BN165" i="15" s="1"/>
  <c r="BM164" i="15" s="1"/>
  <c r="BN164" i="15" s="1"/>
  <c r="BM163" i="15" s="1"/>
  <c r="BN163" i="15" s="1"/>
  <c r="BM162" i="15" s="1"/>
  <c r="BN171" i="15"/>
  <c r="BN162" i="15" l="1"/>
  <c r="BM120" i="15" s="1"/>
  <c r="BN161" i="15"/>
  <c r="BM118" i="15" l="1"/>
  <c r="BN120" i="15"/>
  <c r="BN119" i="15"/>
  <c r="BM117" i="15" l="1"/>
  <c r="BN118" i="15"/>
  <c r="BN117" i="15" l="1"/>
  <c r="BM115" i="15" s="1"/>
  <c r="BN116" i="15"/>
  <c r="BM114" i="15" l="1"/>
  <c r="BN115" i="15"/>
  <c r="BM113" i="15" l="1"/>
  <c r="BN114" i="15"/>
  <c r="BM112" i="15" l="1"/>
  <c r="BN112" i="15" s="1"/>
  <c r="BM111" i="15" s="1"/>
  <c r="BN111" i="15" s="1"/>
  <c r="BM110" i="15" s="1"/>
  <c r="BN110" i="15" s="1"/>
  <c r="BM109" i="15" s="1"/>
  <c r="BN109" i="15" s="1"/>
  <c r="BM108" i="15" s="1"/>
  <c r="BN113" i="15"/>
  <c r="BN108" i="15" l="1"/>
  <c r="BM106" i="15" s="1"/>
  <c r="BN107" i="15"/>
  <c r="BM105" i="15" l="1"/>
  <c r="BN105" i="15" s="1"/>
  <c r="BM104" i="15" s="1"/>
  <c r="BN104" i="15" s="1"/>
  <c r="BM103" i="15" s="1"/>
  <c r="BN103" i="15" s="1"/>
  <c r="BM102" i="15" s="1"/>
  <c r="BN102" i="15" s="1"/>
  <c r="BM101" i="15" s="1"/>
  <c r="BN101" i="15" s="1"/>
  <c r="BM100" i="15" s="1"/>
  <c r="BN100" i="15" s="1"/>
  <c r="BM99" i="15" s="1"/>
  <c r="BN99" i="15" s="1"/>
  <c r="BM98" i="15" s="1"/>
  <c r="BN98" i="15" s="1"/>
  <c r="BM97" i="15" s="1"/>
  <c r="BN97" i="15" s="1"/>
  <c r="BM96" i="15" s="1"/>
  <c r="BN96" i="15" s="1"/>
  <c r="BM95" i="15" s="1"/>
  <c r="BN95" i="15" s="1"/>
  <c r="BM94" i="15" s="1"/>
  <c r="BN94" i="15" s="1"/>
  <c r="BM93" i="15" s="1"/>
  <c r="BN106" i="15"/>
  <c r="BN93" i="15" l="1"/>
  <c r="BM91" i="15" s="1"/>
  <c r="BN92" i="15"/>
  <c r="BM90" i="15" l="1"/>
  <c r="BN91" i="15"/>
  <c r="BM89" i="15" l="1"/>
  <c r="BN89" i="15" s="1"/>
  <c r="BM88" i="15" s="1"/>
  <c r="BN88" i="15" s="1"/>
  <c r="BM87" i="15" s="1"/>
  <c r="BN87" i="15" s="1"/>
  <c r="BM86" i="15" s="1"/>
  <c r="BN86" i="15" s="1"/>
  <c r="BM85" i="15" s="1"/>
  <c r="BN85" i="15" s="1"/>
  <c r="BM84" i="15" s="1"/>
  <c r="BN84" i="15" s="1"/>
  <c r="BM83" i="15" s="1"/>
  <c r="BN83" i="15" s="1"/>
  <c r="BM82" i="15" s="1"/>
  <c r="BN90" i="15"/>
  <c r="BM81" i="15" l="1"/>
  <c r="BN81" i="15" s="1"/>
  <c r="BM80" i="15" s="1"/>
  <c r="BN80" i="15" s="1"/>
  <c r="BM79" i="15" s="1"/>
  <c r="BN79" i="15" s="1"/>
  <c r="BM78" i="15" s="1"/>
  <c r="BN78" i="15" s="1"/>
  <c r="BM77" i="15" s="1"/>
  <c r="BN77" i="15" s="1"/>
  <c r="BM76" i="15" s="1"/>
  <c r="BN76" i="15" s="1"/>
  <c r="BM75" i="15" s="1"/>
  <c r="BN82" i="15"/>
  <c r="BM74" i="15" l="1"/>
  <c r="BN74" i="15" s="1"/>
  <c r="BM73" i="15" s="1"/>
  <c r="BN73" i="15" s="1"/>
  <c r="BM72" i="15" s="1"/>
  <c r="BN75" i="15"/>
  <c r="BN72" i="15" l="1"/>
  <c r="BM70" i="15" s="1"/>
  <c r="BN71" i="15"/>
  <c r="BM69" i="15" l="1"/>
  <c r="BN69" i="15" s="1"/>
  <c r="BM68" i="15" s="1"/>
  <c r="BN68" i="15" s="1"/>
  <c r="BM67" i="15" s="1"/>
  <c r="BN67" i="15" s="1"/>
  <c r="BM66" i="15" s="1"/>
  <c r="BN66" i="15" s="1"/>
  <c r="BM65" i="15" s="1"/>
  <c r="BN65" i="15" s="1"/>
  <c r="BM64" i="15" s="1"/>
  <c r="BN64" i="15" s="1"/>
  <c r="BM63" i="15" s="1"/>
  <c r="BN63" i="15" s="1"/>
  <c r="BM62" i="15" s="1"/>
  <c r="BN62" i="15" s="1"/>
  <c r="BM61" i="15" s="1"/>
  <c r="BN61" i="15" s="1"/>
  <c r="BM60" i="15" s="1"/>
  <c r="BN60" i="15" s="1"/>
  <c r="BM59" i="15" s="1"/>
  <c r="BN59" i="15" s="1"/>
  <c r="BM58" i="15" s="1"/>
  <c r="BN58" i="15" s="1"/>
  <c r="BM57" i="15" s="1"/>
  <c r="BN57" i="15" s="1"/>
  <c r="BM56" i="15" s="1"/>
  <c r="BN56" i="15" s="1"/>
  <c r="BM55" i="15" s="1"/>
  <c r="BN55" i="15" s="1"/>
  <c r="BM54" i="15" s="1"/>
  <c r="BN54" i="15" s="1"/>
  <c r="BM53" i="15" s="1"/>
  <c r="BN53" i="15" s="1"/>
  <c r="BM52" i="15" s="1"/>
  <c r="BN70" i="15"/>
  <c r="BN52" i="15" l="1"/>
  <c r="BM50" i="15" s="1"/>
  <c r="BN51" i="15"/>
  <c r="BM49" i="15" l="1"/>
  <c r="BN49" i="15" s="1"/>
  <c r="BM48" i="15" s="1"/>
  <c r="BN48" i="15" s="1"/>
  <c r="BM47" i="15" s="1"/>
  <c r="BN47" i="15" s="1"/>
  <c r="BM46" i="15" s="1"/>
  <c r="BN50" i="15"/>
  <c r="BN46" i="15" l="1"/>
  <c r="BM131" i="15" s="1"/>
  <c r="BN45" i="15"/>
  <c r="BM127" i="15" l="1"/>
  <c r="BN130" i="15"/>
  <c r="BN131" i="15"/>
  <c r="BM10" i="15" l="1"/>
  <c r="BN127" i="15"/>
  <c r="BN126" i="15"/>
  <c r="BM9" i="15" l="1"/>
  <c r="BN10" i="15"/>
  <c r="BM8" i="15" l="1"/>
  <c r="BN9" i="15"/>
  <c r="BM5" i="15" l="1"/>
  <c r="BN8" i="15"/>
  <c r="BN7" i="15"/>
  <c r="BM4" i="15" l="1"/>
  <c r="BN4" i="15" s="1"/>
  <c r="BM3" i="15" s="1"/>
  <c r="BN5" i="15"/>
  <c r="BN3" i="15" l="1"/>
  <c r="BP4" i="15" s="1"/>
  <c r="BN2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<sst xmlns="http://schemas.openxmlformats.org/spreadsheetml/2006/main" count="602" uniqueCount="239">
  <si>
    <t>-</t>
    <phoneticPr fontId="0" type="Hiragana"/>
  </si>
  <si>
    <t>赤パネ Host Front (LB)</t>
    <rPh sb="0" eb="0">
      <t/>
    </rPh>
    <phoneticPr fontId="0" type="Hiragana"/>
  </si>
  <si>
    <t>vmc-osb.hm.jp.honda.com</t>
  </si>
  <si>
    <t>青パネ Host Front (LB)</t>
    <rPh sb="0" eb="0">
      <t/>
    </rPh>
    <phoneticPr fontId="0" type="Hiragana"/>
  </si>
  <si>
    <t>vmc-osb-qa.hm.jp.honda.com</t>
  </si>
  <si>
    <t>黄パネ Host Front (LBなし)</t>
    <rPh sb="0" eb="0">
      <t/>
    </rPh>
    <phoneticPr fontId="0" type="Hiragana"/>
  </si>
  <si>
    <t>AWS Yellow Host Front (LB)</t>
    <phoneticPr fontId="0" type="Hiragana"/>
  </si>
  <si>
    <t>vpr-sv-aws101.aws.t.rd.honda.com</t>
    <phoneticPr fontId="0" type="Hiragana"/>
  </si>
  <si>
    <t>サービス Base Path</t>
    <phoneticPr fontId="0" type="Hiragana"/>
  </si>
  <si>
    <t>プロジェクト略称</t>
    <phoneticPr fontId="0" type="Hiragana"/>
  </si>
  <si>
    <t>AWS Yellow</t>
    <phoneticPr fontId="13"/>
  </si>
  <si>
    <t>黄パネ</t>
    <rPh sb="0" eb="1">
      <t>キ</t>
    </rPh>
    <phoneticPr fontId="13"/>
  </si>
  <si>
    <t>青パネ</t>
    <rPh sb="0" eb="1">
      <t>アオ</t>
    </rPh>
    <phoneticPr fontId="13"/>
  </si>
  <si>
    <t>赤パネ</t>
    <rPh sb="0" eb="1">
      <t>アカ</t>
    </rPh>
    <phoneticPr fontId="13"/>
  </si>
  <si>
    <t>登録
希望日</t>
    <phoneticPr fontId="13"/>
  </si>
  <si>
    <t>Backend Service URL フルパス
(Service endpoint)</t>
    <phoneticPr fontId="13"/>
  </si>
  <si>
    <t>Front Endpoint URL フルパス
(API Gate Way)</t>
    <phoneticPr fontId="13"/>
  </si>
  <si>
    <t>Backend Service URL フルパス
(Service endpoint)</t>
    <phoneticPr fontId="21"/>
  </si>
  <si>
    <t>Front Endpoint URL フルパス
(API Gateway)</t>
    <phoneticPr fontId="21"/>
  </si>
  <si>
    <t>method</t>
    <phoneticPr fontId="21"/>
  </si>
  <si>
    <t>Backend Service URL メソッド部位
(Service endpoint)</t>
    <rPh sb="24" eb="26">
      <t>ブイ</t>
    </rPh>
    <phoneticPr fontId="21"/>
  </si>
  <si>
    <t>Front Endpoint URL メソッド部位
(API Gate Way)</t>
    <rPh sb="23" eb="25">
      <t>ブイ</t>
    </rPh>
    <phoneticPr fontId="21"/>
  </si>
  <si>
    <t>サービス名
/Service name in Japanese</t>
    <phoneticPr fontId="21"/>
  </si>
  <si>
    <t>カテゴリ
/Category</t>
    <phoneticPr fontId="21"/>
  </si>
  <si>
    <t>API設定シナリオ</t>
    <rPh sb="3" eb="5">
      <t>セッテイ</t>
    </rPh>
    <phoneticPr fontId="13"/>
  </si>
  <si>
    <t>vmc-step2-cad</t>
  </si>
  <si>
    <t>vmc-step2-bom</t>
  </si>
  <si>
    <t>vmc-step2-bom-ev6</t>
  </si>
  <si>
    <t>Project</t>
    <phoneticPr fontId="13"/>
  </si>
  <si>
    <t>ACL Name</t>
    <phoneticPr fontId="13"/>
  </si>
  <si>
    <t>API(IPフィルタ適用時のみ)</t>
    <rPh sb="10" eb="12">
      <t>テキヨウ</t>
    </rPh>
    <rPh sb="12" eb="13">
      <t>ジ</t>
    </rPh>
    <phoneticPr fontId="13"/>
  </si>
  <si>
    <t>Front Endpoint Path
(赤パネ メソッド部位)</t>
    <rPh sb="21" eb="22">
      <t>アカ</t>
    </rPh>
    <phoneticPr fontId="21"/>
  </si>
  <si>
    <t>Front Endpoint Path
(青パネ メソッド部位)</t>
    <rPh sb="21" eb="22">
      <t>アオ</t>
    </rPh>
    <phoneticPr fontId="13"/>
  </si>
  <si>
    <t>Front Endpoint Path
(黄パネ メソッド部位)</t>
    <rPh sb="21" eb="22">
      <t>キ</t>
    </rPh>
    <phoneticPr fontId="13"/>
  </si>
  <si>
    <t>Front Endpoint Path
(AWS Yellow メソッド部位)</t>
    <phoneticPr fontId="13"/>
  </si>
  <si>
    <t>パススルーAPI1</t>
    <phoneticPr fontId="13"/>
  </si>
  <si>
    <t>パススルーAPI2</t>
    <phoneticPr fontId="13"/>
  </si>
  <si>
    <t>API1</t>
    <phoneticPr fontId="13"/>
  </si>
  <si>
    <t>API2</t>
    <phoneticPr fontId="13"/>
  </si>
  <si>
    <t>パススルーAPI3</t>
    <phoneticPr fontId="13"/>
  </si>
  <si>
    <t>パススルーAPI4</t>
    <phoneticPr fontId="13"/>
  </si>
  <si>
    <t>APIコール先
System名</t>
    <rPh sb="6" eb="7">
      <t>サキ</t>
    </rPh>
    <rPh sb="14" eb="15">
      <t>メイ</t>
    </rPh>
    <phoneticPr fontId="13"/>
  </si>
  <si>
    <t>API設定名
(Ingress Name)</t>
    <rPh sb="3" eb="5">
      <t>セッテイ</t>
    </rPh>
    <rPh sb="5" eb="6">
      <t>メイ</t>
    </rPh>
    <phoneticPr fontId="13"/>
  </si>
  <si>
    <t>Consumer1</t>
    <phoneticPr fontId="13"/>
  </si>
  <si>
    <t>Consumer2</t>
  </si>
  <si>
    <t>Consumer3</t>
  </si>
  <si>
    <t>API3</t>
    <phoneticPr fontId="13"/>
  </si>
  <si>
    <t>API4</t>
    <phoneticPr fontId="13"/>
  </si>
  <si>
    <t>パススルーAPIサービス1</t>
    <phoneticPr fontId="13"/>
  </si>
  <si>
    <t>パススルーAPIサービス2</t>
  </si>
  <si>
    <t>パススルーAPIサービス3</t>
  </si>
  <si>
    <t>パススルーAPIサービス4</t>
  </si>
  <si>
    <t>APIKey設定
作成</t>
    <phoneticPr fontId="13"/>
  </si>
  <si>
    <t>パススルー
API設定作成</t>
    <phoneticPr fontId="13"/>
  </si>
  <si>
    <t>コンテナ
API設定作成</t>
    <phoneticPr fontId="13"/>
  </si>
  <si>
    <t>API設定更新
(Path追加)</t>
    <rPh sb="13" eb="15">
      <t>ツイカ</t>
    </rPh>
    <phoneticPr fontId="13"/>
  </si>
  <si>
    <t>パススルーAPI/
IPフィルタ設定
作成</t>
    <rPh sb="16" eb="18">
      <t>セッテイ</t>
    </rPh>
    <rPh sb="19" eb="21">
      <t>サクセイ</t>
    </rPh>
    <phoneticPr fontId="13"/>
  </si>
  <si>
    <t>コンテナAPI/
IPフィルタ設定
作成</t>
    <rPh sb="15" eb="17">
      <t>セッテイ</t>
    </rPh>
    <rPh sb="18" eb="20">
      <t>サクセイ</t>
    </rPh>
    <phoneticPr fontId="13"/>
  </si>
  <si>
    <t>IPフィルタ設定ファイル名</t>
    <rPh sb="6" eb="8">
      <t>セッテイ</t>
    </rPh>
    <rPh sb="12" eb="13">
      <t>メイ</t>
    </rPh>
    <phoneticPr fontId="13"/>
  </si>
  <si>
    <t>API設定ファイル名</t>
    <rPh sb="3" eb="5">
      <t>セッテイ</t>
    </rPh>
    <rPh sb="9" eb="10">
      <t>メイ</t>
    </rPh>
    <phoneticPr fontId="13"/>
  </si>
  <si>
    <t>IPフィルタ名
(IP Filter Name)</t>
    <rPh sb="6" eb="7">
      <t>メイ</t>
    </rPh>
    <phoneticPr fontId="13"/>
  </si>
  <si>
    <t>API更新(Path追加)1</t>
    <rPh sb="3" eb="5">
      <t>コウシン</t>
    </rPh>
    <rPh sb="10" eb="12">
      <t>ツイカ</t>
    </rPh>
    <phoneticPr fontId="13"/>
  </si>
  <si>
    <t>API更新(Path追加)2</t>
    <rPh sb="3" eb="5">
      <t>コウシン</t>
    </rPh>
    <rPh sb="10" eb="12">
      <t>ツイカ</t>
    </rPh>
    <phoneticPr fontId="13"/>
  </si>
  <si>
    <t>API更新(Path追加)3</t>
    <rPh sb="3" eb="5">
      <t>コウシン</t>
    </rPh>
    <rPh sb="10" eb="12">
      <t>ツイカ</t>
    </rPh>
    <phoneticPr fontId="13"/>
  </si>
  <si>
    <t>API更新(Path追加)4</t>
    <rPh sb="3" eb="5">
      <t>コウシン</t>
    </rPh>
    <rPh sb="10" eb="12">
      <t>ツイカ</t>
    </rPh>
    <phoneticPr fontId="13"/>
  </si>
  <si>
    <t>管理Namespace</t>
    <rPh sb="0" eb="2">
      <t>カンリ</t>
    </rPh>
    <phoneticPr fontId="13"/>
  </si>
  <si>
    <t>赤パネ
IP1</t>
    <rPh sb="0" eb="1">
      <t>アカ</t>
    </rPh>
    <phoneticPr fontId="13"/>
  </si>
  <si>
    <t>赤パネ
IP2</t>
    <rPh sb="0" eb="1">
      <t>アカ</t>
    </rPh>
    <phoneticPr fontId="13"/>
  </si>
  <si>
    <t>赤パネ
IP3</t>
    <rPh sb="0" eb="1">
      <t>アカ</t>
    </rPh>
    <phoneticPr fontId="13"/>
  </si>
  <si>
    <t>青パネ
IP1</t>
    <phoneticPr fontId="13"/>
  </si>
  <si>
    <t>青パネ
IP2</t>
    <phoneticPr fontId="13"/>
  </si>
  <si>
    <t>青パネ
IP3</t>
    <phoneticPr fontId="13"/>
  </si>
  <si>
    <t>黄パネ
IP1</t>
    <phoneticPr fontId="13"/>
  </si>
  <si>
    <t>黄パネ
IP2</t>
    <phoneticPr fontId="13"/>
  </si>
  <si>
    <t>黄パネ
IP3</t>
    <phoneticPr fontId="13"/>
  </si>
  <si>
    <t>AWS Yellow
IP1</t>
    <phoneticPr fontId="13"/>
  </si>
  <si>
    <t>AWS Yellow
IP2</t>
  </si>
  <si>
    <t>AWS Yellow
IP3</t>
  </si>
  <si>
    <t>IPフィルタリング (ホワイトリスト) の適用
※記載しきれない場合は、適宜列を追加</t>
    <rPh sb="21" eb="23">
      <t>テキヨウ</t>
    </rPh>
    <rPh sb="25" eb="27">
      <t>キサイ</t>
    </rPh>
    <rPh sb="32" eb="34">
      <t>バアイ</t>
    </rPh>
    <rPh sb="36" eb="38">
      <t>テキギ</t>
    </rPh>
    <rPh sb="38" eb="39">
      <t>レツ</t>
    </rPh>
    <rPh sb="40" eb="42">
      <t>ツイカ</t>
    </rPh>
    <phoneticPr fontId="13"/>
  </si>
  <si>
    <t>赤パネ Frontend URL Prefix</t>
    <phoneticPr fontId="0" type="Hiragana"/>
  </si>
  <si>
    <t>青パネ Frontend URL Prefix</t>
    <rPh sb="0" eb="1">
      <t>あお</t>
    </rPh>
    <phoneticPr fontId="0" type="Hiragana"/>
  </si>
  <si>
    <t>黄パネ Frontend URL Prefix</t>
    <rPh sb="0" eb="1">
      <t>き</t>
    </rPh>
    <phoneticPr fontId="0" type="Hiragana"/>
  </si>
  <si>
    <t>AWS Yellow Frontend URL Prefix</t>
    <phoneticPr fontId="0" type="Hiragana"/>
  </si>
  <si>
    <t>/</t>
    <phoneticPr fontId="13"/>
  </si>
  <si>
    <t>/</t>
    <phoneticPr fontId="0" type="Hiragana"/>
  </si>
  <si>
    <t>自動記載</t>
    <rPh sb="0" eb="2">
      <t>ジドウ</t>
    </rPh>
    <rPh sb="2" eb="4">
      <t>キサイ</t>
    </rPh>
    <phoneticPr fontId="13"/>
  </si>
  <si>
    <t>Contianer Service Name</t>
    <phoneticPr fontId="0" type="Hiragana"/>
  </si>
  <si>
    <t>Container Prefix</t>
    <phoneticPr fontId="13"/>
  </si>
  <si>
    <t>Container Selector</t>
    <phoneticPr fontId="0" type="Hiragana"/>
  </si>
  <si>
    <t>Container 
Service Port</t>
    <phoneticPr fontId="0" type="Hiragana"/>
  </si>
  <si>
    <t>※開発者側管理シート</t>
    <rPh sb="1" eb="4">
      <t>カイハツシャ</t>
    </rPh>
    <rPh sb="4" eb="5">
      <t>ガワ</t>
    </rPh>
    <rPh sb="5" eb="7">
      <t>カンリ</t>
    </rPh>
    <phoneticPr fontId="13"/>
  </si>
  <si>
    <t>自動記載 (開発者がConfigシート記載)</t>
    <rPh sb="0" eb="2">
      <t>ジドウ</t>
    </rPh>
    <rPh sb="2" eb="4">
      <t>キサイ</t>
    </rPh>
    <rPh sb="6" eb="9">
      <t>カイハツシャ</t>
    </rPh>
    <rPh sb="19" eb="21">
      <t>キサイ</t>
    </rPh>
    <phoneticPr fontId="13"/>
  </si>
  <si>
    <t>設定削除
希望フラグ</t>
    <rPh sb="0" eb="2">
      <t>セッテイ</t>
    </rPh>
    <rPh sb="2" eb="4">
      <t>サクジョ</t>
    </rPh>
    <rPh sb="5" eb="7">
      <t>キボウ</t>
    </rPh>
    <phoneticPr fontId="13"/>
  </si>
  <si>
    <t>vmc-osb-itb.hm.jp.honda.com</t>
    <phoneticPr fontId="13"/>
  </si>
  <si>
    <t>/blue/</t>
    <phoneticPr fontId="13"/>
  </si>
  <si>
    <t>/yellow/</t>
    <phoneticPr fontId="0" type="Hiragana"/>
  </si>
  <si>
    <t>AWS 
Yellow</t>
    <phoneticPr fontId="13"/>
  </si>
  <si>
    <t>パス書き換え
設定作成</t>
    <rPh sb="2" eb="3">
      <t>カ</t>
    </rPh>
    <rPh sb="4" eb="5">
      <t>カ</t>
    </rPh>
    <rPh sb="7" eb="9">
      <t>セッテイ</t>
    </rPh>
    <rPh sb="9" eb="11">
      <t>サクセイ</t>
    </rPh>
    <phoneticPr fontId="13"/>
  </si>
  <si>
    <t>パス書き換え設定ファイル名</t>
    <rPh sb="2" eb="3">
      <t>カ</t>
    </rPh>
    <rPh sb="4" eb="5">
      <t>カ</t>
    </rPh>
    <rPh sb="6" eb="8">
      <t>セッテイ</t>
    </rPh>
    <rPh sb="12" eb="13">
      <t>メイ</t>
    </rPh>
    <phoneticPr fontId="13"/>
  </si>
  <si>
    <t>Path書き換え設定
※Front-Back間でPathが異なる場合は要変更</t>
    <phoneticPr fontId="13"/>
  </si>
  <si>
    <t>パススルーAPI5</t>
    <phoneticPr fontId="13"/>
  </si>
  <si>
    <t>API5</t>
    <phoneticPr fontId="13"/>
  </si>
  <si>
    <t>パススルーAPI6</t>
    <phoneticPr fontId="13"/>
  </si>
  <si>
    <t>API6</t>
    <phoneticPr fontId="13"/>
  </si>
  <si>
    <t>パススルーAPI(IPフィルタ適用時のみ)</t>
    <rPh sb="15" eb="17">
      <t>テキヨウ</t>
    </rPh>
    <rPh sb="17" eb="18">
      <t>ジ</t>
    </rPh>
    <phoneticPr fontId="13"/>
  </si>
  <si>
    <t>Path書き換え設定名
(Rewrite Path Name)</t>
    <rPh sb="4" eb="5">
      <t>カ</t>
    </rPh>
    <rPh sb="6" eb="7">
      <t>カ</t>
    </rPh>
    <rPh sb="8" eb="10">
      <t>セッテイ</t>
    </rPh>
    <rPh sb="10" eb="11">
      <t>メイ</t>
    </rPh>
    <phoneticPr fontId="13"/>
  </si>
  <si>
    <t>Contianer Service Name
/External Service Name</t>
    <phoneticPr fontId="13"/>
  </si>
  <si>
    <t>Container Service Port
/External Service Port</t>
    <phoneticPr fontId="13"/>
  </si>
  <si>
    <t>パススルーAPI用
External Service Port</t>
    <phoneticPr fontId="13"/>
  </si>
  <si>
    <t>パススルーAPI用
External Service Protocol</t>
    <phoneticPr fontId="13"/>
  </si>
  <si>
    <t>パススルーAPI用サービス名
(External Service Name)</t>
    <rPh sb="8" eb="9">
      <t>ヨウ</t>
    </rPh>
    <rPh sb="13" eb="14">
      <t>メイ</t>
    </rPh>
    <phoneticPr fontId="13"/>
  </si>
  <si>
    <t>パススルーAPI用
External Service Hostname</t>
    <phoneticPr fontId="13"/>
  </si>
  <si>
    <r>
      <t xml:space="preserve">コンテナ振り分け
/Container Selector
</t>
    </r>
    <r>
      <rPr>
        <sz val="10"/>
        <color rgb="FFFF0000"/>
        <rFont val="Meiryo UI"/>
        <family val="3"/>
        <charset val="128"/>
      </rPr>
      <t>※パススルーAPIの場合は、API管理と記載してください</t>
    </r>
    <rPh sb="4" eb="5">
      <t>フ</t>
    </rPh>
    <rPh sb="6" eb="7">
      <t>ワ</t>
    </rPh>
    <rPh sb="39" eb="41">
      <t>バアイ</t>
    </rPh>
    <rPh sb="46" eb="48">
      <t>カンリ</t>
    </rPh>
    <rPh sb="49" eb="51">
      <t>キサイ</t>
    </rPh>
    <phoneticPr fontId="13"/>
  </si>
  <si>
    <t>機能群/Function</t>
    <rPh sb="0" eb="3">
      <t>キノウグン</t>
    </rPh>
    <phoneticPr fontId="4"/>
  </si>
  <si>
    <t>ifbom_atl1</t>
    <phoneticPr fontId="0" type="Hiragana"/>
  </si>
  <si>
    <t>Fujitsu</t>
  </si>
  <si>
    <t>k6</t>
  </si>
  <si>
    <t>vmcbom-services-public-k6-apiv1</t>
    <phoneticPr fontId="13"/>
  </si>
  <si>
    <t>ifbom_atl2</t>
  </si>
  <si>
    <t>NDES</t>
  </si>
  <si>
    <t>k6-v6</t>
  </si>
  <si>
    <t>vmcbom-services-public-k6-v6-apiv1</t>
    <phoneticPr fontId="13"/>
  </si>
  <si>
    <t>ifbom_atl3</t>
  </si>
  <si>
    <t>WtCI</t>
  </si>
  <si>
    <t>wtci</t>
  </si>
  <si>
    <t>vmcbom-services-public-wtci-apiv1</t>
    <phoneticPr fontId="13"/>
  </si>
  <si>
    <t>ifbom_atl4</t>
  </si>
  <si>
    <t>SeriesPlan</t>
  </si>
  <si>
    <t>seriesplan</t>
  </si>
  <si>
    <t>vmcbom-services-public-seriesplan-apiv1</t>
    <phoneticPr fontId="13"/>
  </si>
  <si>
    <t>ifbom_atl5</t>
  </si>
  <si>
    <t>wtci-wt</t>
  </si>
  <si>
    <t>vmcbom-services-public-wtci-wt-apiv1</t>
    <phoneticPr fontId="13"/>
  </si>
  <si>
    <t>ifbom_atl6</t>
  </si>
  <si>
    <t>DigitalColorChart</t>
  </si>
  <si>
    <t>dcolorchart</t>
  </si>
  <si>
    <t>vmcbom-services-public-dcolorchart-apiv1</t>
    <phoneticPr fontId="13"/>
  </si>
  <si>
    <t>vmcms-services-k6v6-apiv0</t>
    <phoneticPr fontId="13"/>
  </si>
  <si>
    <t>k6v6</t>
    <phoneticPr fontId="13"/>
  </si>
  <si>
    <t>Wt</t>
    <phoneticPr fontId="4"/>
  </si>
  <si>
    <t>ifbom_atl2-k6v6</t>
    <phoneticPr fontId="13"/>
  </si>
  <si>
    <t>vmcbom/v1/</t>
    <phoneticPr fontId="13"/>
  </si>
  <si>
    <t>VMCBOM</t>
  </si>
  <si>
    <t>サービスとして使用中の
Container Prefix</t>
    <rPh sb="7" eb="10">
      <t>シヨウチュウ</t>
    </rPh>
    <phoneticPr fontId="13"/>
  </si>
  <si>
    <t>-</t>
    <phoneticPr fontId="13"/>
  </si>
  <si>
    <t>APIKey設定
※Consumerは左詰めで記載</t>
    <rPh sb="19" eb="21">
      <t>ヒダリヅ</t>
    </rPh>
    <rPh sb="23" eb="25">
      <t>キサイ</t>
    </rPh>
    <phoneticPr fontId="13"/>
  </si>
  <si>
    <t>※Z～AQ列：パススルーAPIの場合は記載してください</t>
    <rPh sb="5" eb="6">
      <t>レツ</t>
    </rPh>
    <rPh sb="16" eb="18">
      <t>バアイ</t>
    </rPh>
    <rPh sb="19" eb="21">
      <t>キサイ</t>
    </rPh>
    <phoneticPr fontId="13"/>
  </si>
  <si>
    <t>※AR～BD列：IPフィルタ設定を用いる場合は記載してください</t>
    <rPh sb="6" eb="7">
      <t>レツ</t>
    </rPh>
    <rPh sb="14" eb="16">
      <t>セッテイ</t>
    </rPh>
    <rPh sb="17" eb="18">
      <t>モチ</t>
    </rPh>
    <rPh sb="20" eb="22">
      <t>バアイ</t>
    </rPh>
    <rPh sb="23" eb="25">
      <t>キサイ</t>
    </rPh>
    <phoneticPr fontId="13"/>
  </si>
  <si>
    <t>パススルーAPI用
External Service Prefix
※Prefixは指定しなくても可</t>
    <rPh sb="42" eb="44">
      <t>シテイ</t>
    </rPh>
    <rPh sb="49" eb="50">
      <t>カ</t>
    </rPh>
    <phoneticPr fontId="13"/>
  </si>
  <si>
    <t>※B～N列：記載が必要です</t>
    <rPh sb="4" eb="5">
      <t>レツ</t>
    </rPh>
    <rPh sb="6" eb="8">
      <t>キサイ</t>
    </rPh>
    <rPh sb="9" eb="11">
      <t>ヒツヨウ</t>
    </rPh>
    <phoneticPr fontId="13"/>
  </si>
  <si>
    <t>vmcbom-services-public-api</t>
    <phoneticPr fontId="13"/>
  </si>
  <si>
    <t>使用中の
Container
Prefix</t>
    <rPh sb="0" eb="3">
      <t>シヨウチュウ</t>
    </rPh>
    <phoneticPr fontId="13"/>
  </si>
  <si>
    <t>未登録</t>
  </si>
  <si>
    <t>AWS Yellow
設定</t>
    <phoneticPr fontId="13"/>
  </si>
  <si>
    <t>黄パネ
設定</t>
    <rPh sb="0" eb="1">
      <t>キ</t>
    </rPh>
    <phoneticPr fontId="13"/>
  </si>
  <si>
    <t>青パネ
設定</t>
    <rPh sb="0" eb="1">
      <t>アオ</t>
    </rPh>
    <rPh sb="4" eb="5">
      <t>セツ</t>
    </rPh>
    <rPh sb="5" eb="6">
      <t>サダム</t>
    </rPh>
    <phoneticPr fontId="13"/>
  </si>
  <si>
    <t>赤パネ
設定</t>
    <rPh sb="0" eb="1">
      <t>アカ</t>
    </rPh>
    <rPh sb="4" eb="6">
      <t>セッテイ</t>
    </rPh>
    <phoneticPr fontId="21"/>
  </si>
  <si>
    <t>　</t>
  </si>
  <si>
    <t>登録済</t>
  </si>
  <si>
    <t>Project/AMO</t>
    <phoneticPr fontId="13"/>
  </si>
  <si>
    <r>
      <t xml:space="preserve">環境別デプロイ依頼 to AMO
</t>
    </r>
    <r>
      <rPr>
        <sz val="10"/>
        <color rgb="FFFF0000"/>
        <rFont val="Meiryo UI"/>
        <family val="3"/>
        <charset val="128"/>
      </rPr>
      <t>※Project側からのAPI登録依頼時は「依頼中」を選択してください</t>
    </r>
    <rPh sb="0" eb="2">
      <t>カンキョウ</t>
    </rPh>
    <rPh sb="2" eb="3">
      <t>ベツ</t>
    </rPh>
    <rPh sb="7" eb="9">
      <t>イライ</t>
    </rPh>
    <rPh sb="25" eb="26">
      <t>ガワ</t>
    </rPh>
    <rPh sb="32" eb="34">
      <t>トウロク</t>
    </rPh>
    <rPh sb="34" eb="36">
      <t>イライ</t>
    </rPh>
    <rPh sb="36" eb="37">
      <t>ジ</t>
    </rPh>
    <rPh sb="39" eb="42">
      <t>イライチュウ</t>
    </rPh>
    <rPh sb="44" eb="46">
      <t>センタク</t>
    </rPh>
    <phoneticPr fontId="13"/>
  </si>
  <si>
    <t>Service Name</t>
    <phoneticPr fontId="21"/>
  </si>
  <si>
    <t>プロジェクト機能ID
/Function ID</t>
    <phoneticPr fontId="13"/>
  </si>
  <si>
    <t>シナリオ参照</t>
    <rPh sb="4" eb="6">
      <t>さんしょう</t>
    </rPh>
    <phoneticPr fontId="0" type="Hiragana"/>
  </si>
  <si>
    <t>URL重複チェッカー</t>
    <rPh sb="3" eb="5">
      <t>チョウフク</t>
    </rPh>
    <phoneticPr fontId="13"/>
  </si>
  <si>
    <t>⇐重複がある場合は「URL部分重複あり」と表示され、シートの見出しが赤塗りになります。</t>
    <rPh sb="1" eb="3">
      <t>チョウフク</t>
    </rPh>
    <rPh sb="6" eb="8">
      <t>バアイ</t>
    </rPh>
    <rPh sb="13" eb="15">
      <t>ブブン</t>
    </rPh>
    <rPh sb="15" eb="17">
      <t>チョウフク</t>
    </rPh>
    <rPh sb="21" eb="23">
      <t>ヒョウジ</t>
    </rPh>
    <rPh sb="30" eb="32">
      <t>ミダ</t>
    </rPh>
    <rPh sb="34" eb="35">
      <t>アカ</t>
    </rPh>
    <rPh sb="35" eb="36">
      <t>ヌ</t>
    </rPh>
    <phoneticPr fontId="13"/>
  </si>
  <si>
    <t>⇐本行と1つ上の行のURLを比較しています。</t>
    <rPh sb="1" eb="2">
      <t>ホン</t>
    </rPh>
    <rPh sb="2" eb="3">
      <t>ギョウ</t>
    </rPh>
    <rPh sb="6" eb="7">
      <t>ウエ</t>
    </rPh>
    <rPh sb="8" eb="9">
      <t>ギョウ</t>
    </rPh>
    <rPh sb="14" eb="16">
      <t>ヒカク</t>
    </rPh>
    <phoneticPr fontId="13"/>
  </si>
  <si>
    <t>　 重複がある場合は「FALSE」と表示されます。</t>
    <phoneticPr fontId="13"/>
  </si>
  <si>
    <t>　 「FALSE」と表示される場合は、双方のAPI設定およびRewritePath設定を1API用の個別API設定として作成してください。</t>
    <rPh sb="10" eb="12">
      <t>ヒョウジ</t>
    </rPh>
    <rPh sb="15" eb="17">
      <t>バアイ</t>
    </rPh>
    <rPh sb="19" eb="21">
      <t>ソウホウ</t>
    </rPh>
    <rPh sb="25" eb="27">
      <t>セッテイ</t>
    </rPh>
    <rPh sb="41" eb="43">
      <t>セッテイ</t>
    </rPh>
    <rPh sb="48" eb="49">
      <t>ヨウ</t>
    </rPh>
    <rPh sb="50" eb="52">
      <t>コベツ</t>
    </rPh>
    <rPh sb="55" eb="57">
      <t>セッテイ</t>
    </rPh>
    <rPh sb="60" eb="62">
      <t>サクセイ</t>
    </rPh>
    <phoneticPr fontId="13"/>
  </si>
  <si>
    <t>個別APIの作成方針について</t>
    <rPh sb="0" eb="2">
      <t>コベツ</t>
    </rPh>
    <rPh sb="6" eb="8">
      <t>サクセイ</t>
    </rPh>
    <rPh sb="8" eb="10">
      <t>ホウシン</t>
    </rPh>
    <phoneticPr fontId="13"/>
  </si>
  <si>
    <t>⇒基本的には1API設定(Ingress)は複数Path記載の形となっていますが、1Path記載のみのAPI設定ファイルを作成してください。</t>
    <rPh sb="46" eb="48">
      <t>キサイ</t>
    </rPh>
    <rPh sb="54" eb="56">
      <t>セッテイ</t>
    </rPh>
    <rPh sb="61" eb="63">
      <t>サクセイ</t>
    </rPh>
    <phoneticPr fontId="13"/>
  </si>
  <si>
    <t xml:space="preserve">　 その際、RewritePath設定もそれぞれ個別に作成してください。
</t>
    <rPh sb="4" eb="5">
      <t>サイ</t>
    </rPh>
    <rPh sb="17" eb="19">
      <t>セッテイ</t>
    </rPh>
    <rPh sb="24" eb="26">
      <t>コベツ</t>
    </rPh>
    <rPh sb="27" eb="29">
      <t>サクセイ</t>
    </rPh>
    <phoneticPr fontId="13"/>
  </si>
  <si>
    <t>　 Ingess設定およびRewritePath設定にはグループキャプチャ、つまり()表記でPathを取得する方法を使わず、</t>
    <rPh sb="8" eb="10">
      <t>セッテイ</t>
    </rPh>
    <phoneticPr fontId="13"/>
  </si>
  <si>
    <t>　 Ingress設定にフロントエンドのPathを記載、RewritePath設定にバックエンドのPathをそのまま記載してください。</t>
    <rPh sb="9" eb="11">
      <t>セッテイ</t>
    </rPh>
    <rPh sb="25" eb="27">
      <t>キサイ</t>
    </rPh>
    <rPh sb="39" eb="41">
      <t>セッテイ</t>
    </rPh>
    <phoneticPr fontId="13"/>
  </si>
  <si>
    <t>　 設定ファイル作成の際に、API Managing Sheetシートの表記を手動更新してください (以下対象列記載)</t>
    <rPh sb="2" eb="4">
      <t>セッテイ</t>
    </rPh>
    <rPh sb="8" eb="10">
      <t>サクセイ</t>
    </rPh>
    <rPh sb="11" eb="12">
      <t>サイ</t>
    </rPh>
    <rPh sb="36" eb="38">
      <t>ヒョウキ</t>
    </rPh>
    <rPh sb="39" eb="41">
      <t>シュドウ</t>
    </rPh>
    <rPh sb="41" eb="43">
      <t>コウシン</t>
    </rPh>
    <rPh sb="51" eb="53">
      <t>イカ</t>
    </rPh>
    <rPh sb="53" eb="55">
      <t>タイショウ</t>
    </rPh>
    <rPh sb="55" eb="56">
      <t>レツ</t>
    </rPh>
    <rPh sb="56" eb="58">
      <t>キサイ</t>
    </rPh>
    <phoneticPr fontId="13"/>
  </si>
  <si>
    <t>K列：API設定名</t>
    <rPh sb="1" eb="2">
      <t>レツ</t>
    </rPh>
    <phoneticPr fontId="13"/>
  </si>
  <si>
    <t>P列：Path書き換え設定名</t>
    <rPh sb="1" eb="2">
      <t>レツ</t>
    </rPh>
    <phoneticPr fontId="13"/>
  </si>
  <si>
    <t>Q～T列：Path書き換え設定</t>
    <rPh sb="3" eb="4">
      <t>レツ</t>
    </rPh>
    <phoneticPr fontId="13"/>
  </si>
  <si>
    <t>W～Z列：Front Endpoint Path</t>
    <rPh sb="3" eb="4">
      <t>レツ</t>
    </rPh>
    <phoneticPr fontId="13"/>
  </si>
  <si>
    <t>BF列：パス書き換え設定ファイル名</t>
    <rPh sb="2" eb="3">
      <t>レツ</t>
    </rPh>
    <phoneticPr fontId="13"/>
  </si>
  <si>
    <t>BG列：API設定ファイル名</t>
    <rPh sb="2" eb="3">
      <t>レツ</t>
    </rPh>
    <phoneticPr fontId="13"/>
  </si>
  <si>
    <t>　 設定ファイル作成後に、本シートBM列のFALSE記載を手動で「TRUE」と書き換えてください</t>
    <rPh sb="2" eb="4">
      <t>セッテイ</t>
    </rPh>
    <rPh sb="8" eb="10">
      <t>サクセイ</t>
    </rPh>
    <rPh sb="10" eb="11">
      <t>ゴ</t>
    </rPh>
    <rPh sb="13" eb="14">
      <t>ホン</t>
    </rPh>
    <rPh sb="19" eb="20">
      <t>レツ</t>
    </rPh>
    <rPh sb="26" eb="28">
      <t>キサイ</t>
    </rPh>
    <rPh sb="29" eb="31">
      <t>シュドウ</t>
    </rPh>
    <rPh sb="39" eb="40">
      <t>カ</t>
    </rPh>
    <rPh sb="41" eb="42">
      <t>カ</t>
    </rPh>
    <phoneticPr fontId="13"/>
  </si>
  <si>
    <t>サービス名</t>
    <rPh sb="4" eb="5">
      <t>メイ</t>
    </rPh>
    <phoneticPr fontId="13"/>
  </si>
  <si>
    <t>Front Endpoint URL メソッド部位</t>
    <phoneticPr fontId="13"/>
  </si>
  <si>
    <t>削除フラグ</t>
    <rPh sb="0" eb="2">
      <t>サクジョ</t>
    </rPh>
    <phoneticPr fontId="13"/>
  </si>
  <si>
    <t>重複判定</t>
    <rPh sb="0" eb="2">
      <t>チョウフク</t>
    </rPh>
    <rPh sb="2" eb="4">
      <t>ハンテイ</t>
    </rPh>
    <phoneticPr fontId="13"/>
  </si>
  <si>
    <t>POST</t>
  </si>
  <si>
    <t>GET</t>
  </si>
  <si>
    <t>GET</t>
    <phoneticPr fontId="0" type="Hiragana"/>
  </si>
  <si>
    <t>パススルーAPI用サービス設定ファイル名</t>
    <phoneticPr fontId="13"/>
  </si>
  <si>
    <t>ifbom_atl7</t>
    <phoneticPr fontId="13"/>
  </si>
  <si>
    <t>k6-2</t>
    <phoneticPr fontId="13"/>
  </si>
  <si>
    <t>vmcbom-services-public-k6-2-apiv1</t>
    <phoneticPr fontId="13"/>
  </si>
  <si>
    <t>POST</t>
    <phoneticPr fontId="0" type="Hiragana"/>
  </si>
  <si>
    <t>ifbom_atl8</t>
    <phoneticPr fontId="13"/>
  </si>
  <si>
    <t>massconv</t>
    <phoneticPr fontId="13"/>
  </si>
  <si>
    <t>vmcbom-services-public-massconv-apiv1</t>
    <phoneticPr fontId="13"/>
  </si>
  <si>
    <t>MassConversion</t>
    <phoneticPr fontId="13"/>
  </si>
  <si>
    <t>テンプレ行(更新版)</t>
    <rPh sb="6" eb="8">
      <t>コウシン</t>
    </rPh>
    <rPh sb="8" eb="9">
      <t>バン</t>
    </rPh>
    <phoneticPr fontId="13"/>
  </si>
  <si>
    <t>更新版</t>
    <rPh sb="0" eb="2">
      <t>コウシン</t>
    </rPh>
    <rPh sb="2" eb="3">
      <t>バン</t>
    </rPh>
    <phoneticPr fontId="13"/>
  </si>
  <si>
    <t>ifbom_atl9</t>
    <phoneticPr fontId="0" type="Hiragana"/>
  </si>
  <si>
    <t>k6-3</t>
    <phoneticPr fontId="13"/>
  </si>
  <si>
    <t>vmcbom-services-public-k6-3-apiv1</t>
    <phoneticPr fontId="13"/>
  </si>
  <si>
    <t>ifbom_atl10</t>
    <phoneticPr fontId="0" type="Hiragana"/>
  </si>
  <si>
    <t>k6-4</t>
    <phoneticPr fontId="13"/>
  </si>
  <si>
    <t>vmcbom-services-public-k6-4-apiv1</t>
    <phoneticPr fontId="13"/>
  </si>
  <si>
    <t>fj-k6-01</t>
    <phoneticPr fontId="13"/>
  </si>
  <si>
    <t>vmcbom-services-public-fj-k6-01-apiv1</t>
    <phoneticPr fontId="13"/>
  </si>
  <si>
    <t>ifbom_fj-atl01</t>
    <phoneticPr fontId="13"/>
  </si>
  <si>
    <t>BOM-N</t>
  </si>
  <si>
    <t>GetUserPermissionForSupNoStateChk</t>
    <phoneticPr fontId="0" type="Hiragana"/>
  </si>
  <si>
    <t>userPermissionForSupNoStateChk/get</t>
    <phoneticPr fontId="0" type="Hiragana"/>
  </si>
  <si>
    <t>依頼中</t>
  </si>
  <si>
    <t>AHEAD Wt</t>
    <phoneticPr fontId="13"/>
  </si>
  <si>
    <t>wt-part</t>
    <phoneticPr fontId="13"/>
  </si>
  <si>
    <t>vmcbom-services-public-wt-part-apiv1</t>
    <phoneticPr fontId="13"/>
  </si>
  <si>
    <t>ifbom_atl11</t>
    <phoneticPr fontId="0" type="Hiragana"/>
  </si>
  <si>
    <t>ReceiveNotifyDPMUpdate</t>
  </si>
  <si>
    <t>UpdateDPMMapping</t>
  </si>
  <si>
    <t>notifyDPMUpdate/receive</t>
    <phoneticPr fontId="0" type="Hiragana"/>
  </si>
  <si>
    <t>dpmMapping/update</t>
    <phoneticPr fontId="0" type="Hiragana"/>
  </si>
  <si>
    <t>PCS環境
設定</t>
    <rPh sb="3" eb="5">
      <t>カンキョウ</t>
    </rPh>
    <rPh sb="6" eb="7">
      <t>セツ</t>
    </rPh>
    <rPh sb="7" eb="8">
      <t>サダム</t>
    </rPh>
    <phoneticPr fontId="13"/>
  </si>
  <si>
    <t>環境別デプロイ依頼 to AMO</t>
    <phoneticPr fontId="0" type="Hiragana"/>
  </si>
  <si>
    <t>ifbom_atl12</t>
    <phoneticPr fontId="0" type="Hiragana"/>
  </si>
  <si>
    <t>REX</t>
    <phoneticPr fontId="13"/>
  </si>
  <si>
    <t>rex</t>
    <phoneticPr fontId="13"/>
  </si>
  <si>
    <t>vmcbom-services-public-rex-apiv1</t>
    <phoneticPr fontId="13"/>
  </si>
  <si>
    <t>BOM-F</t>
    <phoneticPr fontId="0" type="Hiragana"/>
  </si>
  <si>
    <t>GetUserPermissionSubSection</t>
    <phoneticPr fontId="0" type="Hiragana"/>
  </si>
  <si>
    <t>PromoteEventP-List</t>
    <phoneticPr fontId="0" type="Hiragana"/>
  </si>
  <si>
    <t>ReflectL1PartbyEV6</t>
    <phoneticPr fontId="0" type="Hiragana"/>
  </si>
  <si>
    <t>ReflectSubSecbyEV6</t>
    <phoneticPr fontId="0" type="Hiragana"/>
  </si>
  <si>
    <t>イベントプロモート(P-List)サービス</t>
    <phoneticPr fontId="0" type="Hiragana"/>
  </si>
  <si>
    <t>設定削除
希望フラグ
（PCS)</t>
    <rPh sb="0" eb="2">
      <t>セッテイ</t>
    </rPh>
    <rPh sb="2" eb="4">
      <t>サクジョ</t>
    </rPh>
    <rPh sb="5" eb="7">
      <t>キボウ</t>
    </rPh>
    <phoneticPr fontId="13"/>
  </si>
  <si>
    <t>RE-X(PCS)</t>
    <phoneticPr fontId="0" type="Hiragana"/>
  </si>
  <si>
    <t>登録/削除
希望日</t>
    <rPh sb="3" eb="5">
      <t>サクジョ</t>
    </rPh>
    <phoneticPr fontId="13"/>
  </si>
  <si>
    <t>※2024/9時点で青パネに登録されているAPIはPCS環境に登録済み</t>
    <rPh sb="7" eb="9">
      <t>じてん</t>
    </rPh>
    <rPh sb="10" eb="11">
      <t>あお</t>
    </rPh>
    <rPh sb="14" eb="16">
      <t>とうろく</t>
    </rPh>
    <rPh sb="28" eb="30">
      <t>かんきょう</t>
    </rPh>
    <rPh sb="31" eb="33">
      <t>とうろく</t>
    </rPh>
    <rPh sb="33" eb="34">
      <t>ず</t>
    </rPh>
    <phoneticPr fontId="0" type="Hiragana"/>
  </si>
  <si>
    <t>GetPartsWithSWProperty</t>
    <phoneticPr fontId="0" type="Hiragana"/>
  </si>
  <si>
    <t>RegisterSWProperty</t>
    <phoneticPr fontId="0" type="Hiragana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</si>
</sst>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6"/>
      <name val="Meiryo UI"/>
      <family val="2"/>
      <charset val="128"/>
    </font>
    <font>
      <sz val="11"/>
      <color theme="1"/>
      <name val="游ゴシック"/>
      <family val="2"/>
      <charset val="128"/>
      <scheme val="minor"/>
    </font>
    <font>
      <sz val="10"/>
      <color rgb="FFFF0000"/>
      <name val="Meiryo UI"/>
      <family val="3"/>
      <charset val="128"/>
    </font>
    <font>
      <u/>
      <sz val="11"/>
      <color theme="10"/>
      <name val="Meiryo UI"/>
      <family val="2"/>
      <charset val="128"/>
    </font>
    <font>
      <sz val="10"/>
      <name val="Meiryo UI"/>
      <family val="3"/>
      <charset val="128"/>
    </font>
    <font>
      <sz val="11"/>
      <name val="游ゴシック"/>
      <family val="3"/>
      <charset val="128"/>
      <scheme val="minor"/>
    </font>
    <font>
      <sz val="11"/>
      <name val="Meiryo UI"/>
      <family val="3"/>
      <charset val="128"/>
    </font>
    <font>
      <sz val="11"/>
      <color theme="1"/>
      <name val="游ゴシック"/>
      <family val="2"/>
      <scheme val="minor"/>
    </font>
    <font>
      <sz val="6"/>
      <name val="游ゴシック"/>
      <family val="2"/>
      <charset val="128"/>
      <scheme val="minor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1"/>
      <name val="游ゴシック"/>
      <family val="2"/>
      <charset val="128"/>
      <scheme val="minor"/>
    </font>
    <font>
      <sz val="14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1"/>
      <color theme="0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0"/>
      <color rgb="FFFF0000"/>
      <name val="Meiryo UI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9F"/>
        <bgColor indexed="64"/>
      </patternFill>
    </fill>
    <fill>
      <patternFill patternType="solid">
        <fgColor rgb="FFFFC1C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3">
    <xf numFmtId="0" fontId="0" fillId="0" borderId="0">
      <alignment vertical="center"/>
    </xf>
    <xf numFmtId="0" fontId="14" fillId="0" borderId="0">
      <alignment vertical="center"/>
    </xf>
    <xf numFmtId="0" fontId="16" fillId="0" borderId="0" applyNumberFormat="0" applyFill="0" applyBorder="0" applyAlignment="0" applyProtection="0">
      <alignment vertical="center"/>
    </xf>
    <xf numFmtId="0" fontId="9" fillId="0" borderId="0">
      <alignment vertical="center"/>
    </xf>
    <xf numFmtId="0" fontId="8" fillId="0" borderId="0">
      <alignment vertical="center"/>
    </xf>
    <xf numFmtId="0" fontId="20" fillId="0" borderId="0"/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07">
    <xf numFmtId="0" fontId="0" fillId="0" borderId="0" xfId="0">
      <alignment vertical="center"/>
    </xf>
    <xf numFmtId="0" fontId="12" fillId="0" borderId="1" xfId="0" applyFont="1" applyBorder="1">
      <alignment vertical="center"/>
    </xf>
    <xf numFmtId="0" fontId="14" fillId="0" borderId="0" xfId="1">
      <alignment vertical="center"/>
    </xf>
    <xf numFmtId="0" fontId="12" fillId="0" borderId="1" xfId="0" quotePrefix="1" applyFont="1" applyBorder="1">
      <alignment vertical="center"/>
    </xf>
    <xf numFmtId="0" fontId="12" fillId="0" borderId="1" xfId="0" applyFont="1" applyBorder="1" applyAlignment="1">
      <alignment horizontal="left" vertical="center"/>
    </xf>
    <xf numFmtId="0" fontId="17" fillId="0" borderId="1" xfId="0" applyFont="1" applyBorder="1">
      <alignment vertical="center"/>
    </xf>
    <xf numFmtId="0" fontId="12" fillId="0" borderId="1" xfId="0" applyFont="1" applyBorder="1" applyAlignment="1">
      <alignment horizontal="center" vertical="center"/>
    </xf>
    <xf numFmtId="0" fontId="11" fillId="0" borderId="0" xfId="1" applyFont="1">
      <alignment vertical="center"/>
    </xf>
    <xf numFmtId="0" fontId="18" fillId="0" borderId="0" xfId="1" applyFont="1">
      <alignment vertical="center"/>
    </xf>
    <xf numFmtId="0" fontId="10" fillId="0" borderId="0" xfId="1" applyFont="1">
      <alignment vertical="center"/>
    </xf>
    <xf numFmtId="0" fontId="12" fillId="0" borderId="0" xfId="0" applyFont="1">
      <alignment vertical="center"/>
    </xf>
    <xf numFmtId="0" fontId="12" fillId="2" borderId="0" xfId="0" applyFont="1" applyFill="1">
      <alignment vertical="center"/>
    </xf>
    <xf numFmtId="0" fontId="12" fillId="9" borderId="0" xfId="0" applyFont="1" applyFill="1">
      <alignment vertical="center"/>
    </xf>
    <xf numFmtId="0" fontId="12" fillId="0" borderId="0" xfId="0" applyFont="1" applyAlignment="1">
      <alignment horizontal="left" vertical="center"/>
    </xf>
    <xf numFmtId="0" fontId="12" fillId="0" borderId="0" xfId="0" applyFont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/>
    </xf>
    <xf numFmtId="0" fontId="12" fillId="0" borderId="4" xfId="0" applyFont="1" applyBorder="1">
      <alignment vertical="center"/>
    </xf>
    <xf numFmtId="0" fontId="12" fillId="0" borderId="3" xfId="0" applyFont="1" applyBorder="1">
      <alignment vertical="center"/>
    </xf>
    <xf numFmtId="0" fontId="12" fillId="8" borderId="4" xfId="0" applyFont="1" applyFill="1" applyBorder="1">
      <alignment vertical="center"/>
    </xf>
    <xf numFmtId="0" fontId="12" fillId="6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7" fillId="0" borderId="0" xfId="0" applyFont="1">
      <alignment vertical="center"/>
    </xf>
    <xf numFmtId="0" fontId="7" fillId="0" borderId="0" xfId="1" applyFont="1">
      <alignment vertical="center"/>
    </xf>
    <xf numFmtId="0" fontId="12" fillId="6" borderId="8" xfId="0" applyFont="1" applyFill="1" applyBorder="1" applyAlignment="1">
      <alignment horizontal="center" vertical="center" wrapText="1"/>
    </xf>
    <xf numFmtId="0" fontId="12" fillId="0" borderId="3" xfId="0" applyFont="1" applyBorder="1" applyAlignment="1">
      <alignment horizontal="left" vertical="center"/>
    </xf>
    <xf numFmtId="0" fontId="12" fillId="0" borderId="0" xfId="0" applyFont="1" applyAlignment="1">
      <alignment vertical="center" wrapText="1"/>
    </xf>
    <xf numFmtId="0" fontId="23" fillId="11" borderId="11" xfId="0" applyFont="1" applyFill="1" applyBorder="1" applyAlignment="1">
      <alignment horizontal="center" vertical="center" wrapText="1"/>
    </xf>
    <xf numFmtId="0" fontId="12" fillId="0" borderId="3" xfId="0" applyFont="1" applyBorder="1" applyAlignment="1">
      <alignment horizontal="center" vertical="center"/>
    </xf>
    <xf numFmtId="0" fontId="22" fillId="10" borderId="12" xfId="0" applyFont="1" applyFill="1" applyBorder="1" applyAlignment="1">
      <alignment horizontal="center" vertical="center" wrapText="1"/>
    </xf>
    <xf numFmtId="56" fontId="12" fillId="0" borderId="12" xfId="0" applyNumberFormat="1" applyFont="1" applyBorder="1" applyAlignment="1">
      <alignment horizontal="center" vertical="center"/>
    </xf>
    <xf numFmtId="0" fontId="19" fillId="0" borderId="0" xfId="0" applyFont="1">
      <alignment vertical="center"/>
    </xf>
    <xf numFmtId="0" fontId="25" fillId="8" borderId="1" xfId="3" applyFont="1" applyFill="1" applyBorder="1" applyAlignment="1">
      <alignment horizontal="center" vertical="center"/>
    </xf>
    <xf numFmtId="0" fontId="25" fillId="8" borderId="1" xfId="3" applyFont="1" applyFill="1" applyBorder="1" applyAlignment="1">
      <alignment horizontal="center" vertical="center" wrapText="1"/>
    </xf>
    <xf numFmtId="0" fontId="25" fillId="0" borderId="1" xfId="3" applyFont="1" applyBorder="1">
      <alignment vertical="center"/>
    </xf>
    <xf numFmtId="0" fontId="25" fillId="0" borderId="1" xfId="3" applyFont="1" applyBorder="1" applyAlignment="1">
      <alignment vertical="center" wrapText="1"/>
    </xf>
    <xf numFmtId="0" fontId="26" fillId="0" borderId="0" xfId="0" applyFont="1">
      <alignment vertical="center"/>
    </xf>
    <xf numFmtId="0" fontId="6" fillId="0" borderId="0" xfId="1" applyFont="1">
      <alignment vertical="center"/>
    </xf>
    <xf numFmtId="0" fontId="12" fillId="12" borderId="5" xfId="0" applyFont="1" applyFill="1" applyBorder="1" applyAlignment="1">
      <alignment horizontal="center" vertical="center" wrapText="1"/>
    </xf>
    <xf numFmtId="0" fontId="5" fillId="0" borderId="0" xfId="1" applyFont="1">
      <alignment vertical="center"/>
    </xf>
    <xf numFmtId="0" fontId="12" fillId="0" borderId="5" xfId="0" applyFont="1" applyBorder="1" applyAlignment="1">
      <alignment horizontal="center" vertical="center"/>
    </xf>
    <xf numFmtId="0" fontId="24" fillId="0" borderId="0" xfId="1" applyFont="1" applyAlignment="1">
      <alignment horizontal="left" vertical="center"/>
    </xf>
    <xf numFmtId="0" fontId="18" fillId="0" borderId="0" xfId="1" applyFont="1" applyAlignment="1">
      <alignment horizontal="left" vertical="center"/>
    </xf>
    <xf numFmtId="0" fontId="23" fillId="0" borderId="0" xfId="0" applyFont="1">
      <alignment vertical="center"/>
    </xf>
    <xf numFmtId="49" fontId="12" fillId="0" borderId="1" xfId="0" applyNumberFormat="1" applyFont="1" applyBorder="1" applyAlignment="1">
      <alignment horizontal="left" vertical="center"/>
    </xf>
    <xf numFmtId="0" fontId="12" fillId="12" borderId="0" xfId="0" applyFont="1" applyFill="1">
      <alignment vertical="center"/>
    </xf>
    <xf numFmtId="0" fontId="12" fillId="0" borderId="15" xfId="0" applyFont="1" applyBorder="1" applyAlignment="1">
      <alignment horizontal="center" vertical="center"/>
    </xf>
    <xf numFmtId="14" fontId="12" fillId="0" borderId="12" xfId="0" applyNumberFormat="1" applyFont="1" applyBorder="1" applyAlignment="1">
      <alignment horizontal="center" vertical="center"/>
    </xf>
    <xf numFmtId="0" fontId="12" fillId="8" borderId="1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3" fillId="0" borderId="0" xfId="1" applyFont="1">
      <alignment vertical="center"/>
    </xf>
    <xf numFmtId="0" fontId="16" fillId="0" borderId="0" xfId="2" applyBorder="1">
      <alignment vertical="center"/>
    </xf>
    <xf numFmtId="0" fontId="0" fillId="13" borderId="1" xfId="0" applyFill="1" applyBorder="1">
      <alignment vertical="center"/>
    </xf>
    <xf numFmtId="0" fontId="27" fillId="0" borderId="1" xfId="0" applyFont="1" applyBorder="1">
      <alignment vertical="center"/>
    </xf>
    <xf numFmtId="0" fontId="28" fillId="0" borderId="0" xfId="0" applyFont="1">
      <alignment vertical="center"/>
    </xf>
    <xf numFmtId="0" fontId="17" fillId="0" borderId="1" xfId="0" applyFont="1" applyBorder="1" applyAlignment="1">
      <alignment horizontal="left" vertical="center"/>
    </xf>
    <xf numFmtId="0" fontId="12" fillId="0" borderId="0" xfId="0" applyFont="1" applyAlignment="1">
      <alignment horizontal="center" vertical="center" wrapText="1"/>
    </xf>
    <xf numFmtId="0" fontId="12" fillId="0" borderId="7" xfId="0" applyFont="1" applyBorder="1">
      <alignment vertical="center"/>
    </xf>
    <xf numFmtId="0" fontId="17" fillId="0" borderId="7" xfId="0" applyFont="1" applyBorder="1">
      <alignment vertical="center"/>
    </xf>
    <xf numFmtId="0" fontId="12" fillId="0" borderId="7" xfId="0" quotePrefix="1" applyFont="1" applyBorder="1">
      <alignment vertical="center"/>
    </xf>
    <xf numFmtId="0" fontId="17" fillId="0" borderId="7" xfId="0" applyFont="1" applyBorder="1" applyAlignment="1">
      <alignment horizontal="left" vertical="center"/>
    </xf>
    <xf numFmtId="0" fontId="12" fillId="0" borderId="7" xfId="0" applyFont="1" applyBorder="1" applyAlignment="1">
      <alignment horizontal="left" vertical="center"/>
    </xf>
    <xf numFmtId="49" fontId="12" fillId="0" borderId="7" xfId="0" applyNumberFormat="1" applyFont="1" applyBorder="1" applyAlignment="1">
      <alignment horizontal="left" vertical="center"/>
    </xf>
    <xf numFmtId="0" fontId="12" fillId="0" borderId="7" xfId="0" applyFont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14" fontId="12" fillId="0" borderId="17" xfId="0" applyNumberFormat="1" applyFont="1" applyBorder="1" applyAlignment="1">
      <alignment horizontal="center" vertical="center"/>
    </xf>
    <xf numFmtId="56" fontId="12" fillId="0" borderId="17" xfId="0" applyNumberFormat="1" applyFont="1" applyBorder="1" applyAlignment="1">
      <alignment horizontal="center" vertical="center"/>
    </xf>
    <xf numFmtId="0" fontId="12" fillId="0" borderId="18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18" xfId="0" applyFont="1" applyBorder="1" applyAlignment="1">
      <alignment horizontal="left" vertical="center"/>
    </xf>
    <xf numFmtId="0" fontId="29" fillId="14" borderId="1" xfId="0" applyFont="1" applyFill="1" applyBorder="1" applyAlignment="1">
      <alignment horizontal="center" vertical="center" wrapText="1"/>
    </xf>
    <xf numFmtId="0" fontId="12" fillId="11" borderId="0" xfId="0" applyFont="1" applyFill="1">
      <alignment vertical="center"/>
    </xf>
    <xf numFmtId="0" fontId="17" fillId="2" borderId="1" xfId="0" applyFont="1" applyFill="1" applyBorder="1">
      <alignment vertical="center"/>
    </xf>
    <xf numFmtId="0" fontId="15" fillId="11" borderId="0" xfId="0" applyFont="1" applyFill="1">
      <alignment vertical="center"/>
    </xf>
    <xf numFmtId="0" fontId="12" fillId="7" borderId="2" xfId="0" applyFont="1" applyFill="1" applyBorder="1" applyAlignment="1">
      <alignment horizontal="center" vertical="center" wrapText="1"/>
    </xf>
    <xf numFmtId="0" fontId="12" fillId="7" borderId="16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 vertical="center" wrapText="1"/>
    </xf>
    <xf numFmtId="0" fontId="12" fillId="8" borderId="5" xfId="0" applyFont="1" applyFill="1" applyBorder="1" applyAlignment="1">
      <alignment horizontal="center"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12" fillId="8" borderId="6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 wrapText="1"/>
    </xf>
    <xf numFmtId="0" fontId="17" fillId="8" borderId="6" xfId="0" applyFont="1" applyFill="1" applyBorder="1" applyAlignment="1">
      <alignment horizontal="center" vertical="center" wrapText="1"/>
    </xf>
    <xf numFmtId="0" fontId="17" fillId="8" borderId="7" xfId="0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 wrapText="1"/>
    </xf>
    <xf numFmtId="0" fontId="12" fillId="8" borderId="1" xfId="0" applyFont="1" applyFill="1" applyBorder="1" applyAlignment="1">
      <alignment horizontal="center" vertical="center"/>
    </xf>
    <xf numFmtId="0" fontId="12" fillId="8" borderId="7" xfId="0" applyFont="1" applyFill="1" applyBorder="1" applyAlignment="1">
      <alignment horizontal="center" vertical="center"/>
    </xf>
    <xf numFmtId="0" fontId="12" fillId="4" borderId="6" xfId="0" applyFont="1" applyFill="1" applyBorder="1" applyAlignment="1">
      <alignment horizontal="center" vertical="center" wrapText="1"/>
    </xf>
    <xf numFmtId="0" fontId="12" fillId="4" borderId="7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 wrapText="1"/>
    </xf>
    <xf numFmtId="0" fontId="12" fillId="3" borderId="7" xfId="0" applyFont="1" applyFill="1" applyBorder="1" applyAlignment="1">
      <alignment horizontal="center" vertical="center" wrapText="1"/>
    </xf>
    <xf numFmtId="0" fontId="12" fillId="6" borderId="6" xfId="0" applyFont="1" applyFill="1" applyBorder="1" applyAlignment="1">
      <alignment horizontal="center"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12" fillId="7" borderId="13" xfId="0" applyFont="1" applyFill="1" applyBorder="1" applyAlignment="1">
      <alignment horizontal="center" vertical="center" wrapText="1"/>
    </xf>
    <xf numFmtId="0" fontId="12" fillId="7" borderId="10" xfId="0" applyFont="1" applyFill="1" applyBorder="1" applyAlignment="1">
      <alignment horizontal="center" vertical="center"/>
    </xf>
    <xf numFmtId="0" fontId="12" fillId="7" borderId="14" xfId="0" applyFont="1" applyFill="1" applyBorder="1" applyAlignment="1">
      <alignment horizontal="center" vertical="center"/>
    </xf>
    <xf numFmtId="0" fontId="12" fillId="5" borderId="3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/>
    </xf>
    <xf numFmtId="0" fontId="12" fillId="8" borderId="9" xfId="0" applyFont="1" applyFill="1" applyBorder="1" applyAlignment="1">
      <alignment horizontal="center" vertical="center" wrapText="1"/>
    </xf>
    <xf numFmtId="0" fontId="12" fillId="8" borderId="2" xfId="0" applyFont="1" applyFill="1" applyBorder="1" applyAlignment="1">
      <alignment horizontal="center" vertical="center" wrapText="1"/>
    </xf>
    <xf numFmtId="0" fontId="12" fillId="12" borderId="1" xfId="0" applyFont="1" applyFill="1" applyBorder="1" applyAlignment="1">
      <alignment horizontal="center" vertical="center" wrapText="1"/>
    </xf>
  </cellXfs>
  <cellStyles count="13">
    <cellStyle name="Normal 2" xfId="1" xr:uid="{00000000-0005-0000-0000-000000000000}"/>
    <cellStyle name="Normal 2 2" xfId="6" xr:uid="{00000000-0005-0000-0000-000001000000}"/>
    <cellStyle name="Normal 2 2 2" xfId="11" xr:uid="{3F111D0F-19C8-4068-A760-319299B9E15F}"/>
    <cellStyle name="Normal 2 3" xfId="8" xr:uid="{93543D82-1F9F-4E94-B0ED-C6C3AAE89341}"/>
    <cellStyle name="ハイパーリンク" xfId="2" builtinId="8"/>
    <cellStyle name="標準" xfId="0" builtinId="0"/>
    <cellStyle name="標準 2" xfId="3" xr:uid="{00000000-0005-0000-0000-000004000000}"/>
    <cellStyle name="標準 2 2" xfId="7" xr:uid="{00000000-0005-0000-0000-000005000000}"/>
    <cellStyle name="標準 2 2 2" xfId="12" xr:uid="{AD4D6DE3-CE33-4BFA-B652-525E145B0631}"/>
    <cellStyle name="標準 2 3" xfId="9" xr:uid="{12304000-359E-45F0-895A-BA9FFA795FEC}"/>
    <cellStyle name="標準 3" xfId="4" xr:uid="{00000000-0005-0000-0000-000006000000}"/>
    <cellStyle name="標準 3 2" xfId="10" xr:uid="{5B333D2A-E0F8-4AC9-AF60-06C0328B9D35}"/>
    <cellStyle name="標準 4" xfId="5" xr:uid="{00000000-0005-0000-0000-000007000000}"/>
  </cellStyles>
  <dxfs count="14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0" tint="-0.34998626667073579"/>
        </patternFill>
      </fill>
    </dxf>
  </dxfs>
  <tableStyles count="0" defaultTableStyle="TableStyleMedium2" defaultPivotStyle="PivotStyleLight16"/>
  <colors>
    <mruColors>
      <color rgb="FFFFFF9F"/>
      <color rgb="FFCCFFFF"/>
      <color rgb="FFCCFFCC"/>
      <color rgb="FFFFC1C1"/>
      <color rgb="FFCC66FF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92564</xdr:colOff>
      <xdr:row>1</xdr:row>
      <xdr:rowOff>65315</xdr:rowOff>
    </xdr:from>
    <xdr:to>
      <xdr:col>43</xdr:col>
      <xdr:colOff>625891</xdr:colOff>
      <xdr:row>1</xdr:row>
      <xdr:rowOff>65315</xdr:rowOff>
    </xdr:to>
    <xdr:cxnSp macro="">
      <xdr:nvCxnSpPr>
        <xdr:cNvPr id="3" name="直線矢印コネクタ 2">
          <a:extLst>
            <a:ext uri="{FF2B5EF4-FFF2-40B4-BE49-F238E27FC236}">
              <a16:creationId xmlns:a16="http://schemas.microsoft.com/office/drawing/2014/main" id="{578EA308-89AC-4E7B-86DB-D67C97DE4FAB}"/>
            </a:ext>
          </a:extLst>
        </xdr:cNvPr>
        <xdr:cNvCxnSpPr/>
      </xdr:nvCxnSpPr>
      <xdr:spPr>
        <a:xfrm>
          <a:off x="59208524" y="263435"/>
          <a:ext cx="18668927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110485</xdr:colOff>
      <xdr:row>1</xdr:row>
      <xdr:rowOff>65316</xdr:rowOff>
    </xdr:from>
    <xdr:to>
      <xdr:col>56</xdr:col>
      <xdr:colOff>738527</xdr:colOff>
      <xdr:row>1</xdr:row>
      <xdr:rowOff>65316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id="{8331B777-DC6B-447F-94A3-D620EA55B411}"/>
            </a:ext>
          </a:extLst>
        </xdr:cNvPr>
        <xdr:cNvCxnSpPr/>
      </xdr:nvCxnSpPr>
      <xdr:spPr>
        <a:xfrm>
          <a:off x="78032605" y="263436"/>
          <a:ext cx="10198762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206706</xdr:colOff>
      <xdr:row>1</xdr:row>
      <xdr:rowOff>65315</xdr:rowOff>
    </xdr:from>
    <xdr:to>
      <xdr:col>14</xdr:col>
      <xdr:colOff>1112</xdr:colOff>
      <xdr:row>1</xdr:row>
      <xdr:rowOff>65315</xdr:rowOff>
    </xdr:to>
    <xdr:cxnSp macro="">
      <xdr:nvCxnSpPr>
        <xdr:cNvPr id="5" name="直線矢印コネクタ 4">
          <a:extLst>
            <a:ext uri="{FF2B5EF4-FFF2-40B4-BE49-F238E27FC236}">
              <a16:creationId xmlns:a16="http://schemas.microsoft.com/office/drawing/2014/main" id="{DE2B821A-F7D7-4ABC-AD76-8E0CD2A2A047}"/>
            </a:ext>
          </a:extLst>
        </xdr:cNvPr>
        <xdr:cNvCxnSpPr/>
      </xdr:nvCxnSpPr>
      <xdr:spPr>
        <a:xfrm>
          <a:off x="206706" y="263435"/>
          <a:ext cx="27538826" cy="0"/>
        </a:xfrm>
        <a:prstGeom prst="straightConnector1">
          <a:avLst/>
        </a:prstGeom>
        <a:ln w="190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1543102</xdr:colOff>
      <xdr:row>3</xdr:row>
      <xdr:rowOff>144725</xdr:rowOff>
    </xdr:to>
    <xdr:sp macro="" textlink="">
      <xdr:nvSpPr>
        <xdr:cNvPr id="6" name="吹き出し: 四角形 5">
          <a:extLst>
            <a:ext uri="{FF2B5EF4-FFF2-40B4-BE49-F238E27FC236}">
              <a16:creationId xmlns:a16="http://schemas.microsoft.com/office/drawing/2014/main" id="{186BFAD2-4C5F-424F-A36D-C95C2FF3767B}"/>
            </a:ext>
          </a:extLst>
        </xdr:cNvPr>
        <xdr:cNvSpPr/>
      </xdr:nvSpPr>
      <xdr:spPr>
        <a:xfrm>
          <a:off x="4125686" y="381000"/>
          <a:ext cx="2718759" cy="329782"/>
        </a:xfrm>
        <a:prstGeom prst="wedgeRectCallout">
          <a:avLst>
            <a:gd name="adj1" fmla="val -24681"/>
            <a:gd name="adj2" fmla="val 109167"/>
          </a:avLst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defTabSz="914400" rtl="0" eaLnBrk="1" fontAlgn="ctr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1100">
              <a:solidFill>
                <a:schemeClr val="accent4">
                  <a:lumMod val="40000"/>
                  <a:lumOff val="60000"/>
                </a:schemeClr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6</a:t>
          </a:r>
          <a:r>
            <a:rPr lang="ja-JP" altLang="ja-JP" sz="1100">
              <a:solidFill>
                <a:schemeClr val="accent4">
                  <a:lumMod val="40000"/>
                  <a:lumOff val="60000"/>
                </a:schemeClr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行目が</a:t>
          </a:r>
          <a:r>
            <a:rPr lang="ja-JP" altLang="en-US" sz="1100">
              <a:solidFill>
                <a:schemeClr val="accent4">
                  <a:lumMod val="40000"/>
                  <a:lumOff val="60000"/>
                </a:schemeClr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オレンジ</a:t>
          </a:r>
          <a:r>
            <a:rPr lang="ja-JP" altLang="ja-JP" sz="1100">
              <a:solidFill>
                <a:schemeClr val="accent4">
                  <a:lumMod val="40000"/>
                  <a:lumOff val="60000"/>
                </a:schemeClr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色塗りの列</a:t>
          </a:r>
          <a:r>
            <a:rPr lang="ja-JP" altLang="ja-JP" sz="1100">
              <a:solidFill>
                <a:schemeClr val="lt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：手動入力必須</a:t>
          </a:r>
          <a:endParaRPr lang="ja-JP" altLang="ja-JP">
            <a:effectLst/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  <xdr:twoCellAnchor>
    <xdr:from>
      <xdr:col>1</xdr:col>
      <xdr:colOff>0</xdr:colOff>
      <xdr:row>2</xdr:row>
      <xdr:rowOff>0</xdr:rowOff>
    </xdr:from>
    <xdr:to>
      <xdr:col>2</xdr:col>
      <xdr:colOff>1188446</xdr:colOff>
      <xdr:row>3</xdr:row>
      <xdr:rowOff>144725</xdr:rowOff>
    </xdr:to>
    <xdr:sp macro="" textlink="">
      <xdr:nvSpPr>
        <xdr:cNvPr id="7" name="吹き出し: 四角形 6">
          <a:extLst>
            <a:ext uri="{FF2B5EF4-FFF2-40B4-BE49-F238E27FC236}">
              <a16:creationId xmlns:a16="http://schemas.microsoft.com/office/drawing/2014/main" id="{44E3272D-5FD3-4196-9DCE-4AA2CAA0BF81}"/>
            </a:ext>
          </a:extLst>
        </xdr:cNvPr>
        <xdr:cNvSpPr/>
      </xdr:nvSpPr>
      <xdr:spPr>
        <a:xfrm>
          <a:off x="1179801" y="378835"/>
          <a:ext cx="2335776" cy="328731"/>
        </a:xfrm>
        <a:prstGeom prst="wedgeRectCallout">
          <a:avLst>
            <a:gd name="adj1" fmla="val -24681"/>
            <a:gd name="adj2" fmla="val 109167"/>
          </a:avLst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rtl="0" eaLnBrk="1" fontAlgn="ctr" latinLnBrk="0" hangingPunct="1"/>
          <a:r>
            <a:rPr lang="en-US" altLang="ja-JP">
              <a:solidFill>
                <a:srgbClr val="FFFF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rPr>
            <a:t>6</a:t>
          </a:r>
          <a:r>
            <a:rPr lang="ja-JP" altLang="en-US">
              <a:solidFill>
                <a:srgbClr val="FFFF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rPr>
            <a:t>行目が黄色塗りの列</a:t>
          </a:r>
          <a:r>
            <a:rPr lang="ja-JP" altLang="en-US">
              <a:effectLst/>
              <a:latin typeface="Meiryo UI" panose="020B0604030504040204" pitchFamily="50" charset="-128"/>
              <a:ea typeface="Meiryo UI" panose="020B0604030504040204" pitchFamily="50" charset="-128"/>
            </a:rPr>
            <a:t>：手動入力必須</a:t>
          </a:r>
        </a:p>
      </xdr:txBody>
    </xdr:sp>
    <xdr:clientData/>
  </xdr:twoCellAnchor>
  <xdr:twoCellAnchor>
    <xdr:from>
      <xdr:col>59</xdr:col>
      <xdr:colOff>1502228</xdr:colOff>
      <xdr:row>23</xdr:row>
      <xdr:rowOff>163284</xdr:rowOff>
    </xdr:from>
    <xdr:to>
      <xdr:col>68</xdr:col>
      <xdr:colOff>468086</xdr:colOff>
      <xdr:row>63</xdr:row>
      <xdr:rowOff>119743</xdr:rowOff>
    </xdr:to>
    <xdr:sp macro="" textlink="">
      <xdr:nvSpPr>
        <xdr:cNvPr id="9" name="吹き出し: 四角形 8">
          <a:extLst>
            <a:ext uri="{FF2B5EF4-FFF2-40B4-BE49-F238E27FC236}">
              <a16:creationId xmlns:a16="http://schemas.microsoft.com/office/drawing/2014/main" id="{236D423D-08B4-47D3-9D27-8CC3122205FE}"/>
            </a:ext>
          </a:extLst>
        </xdr:cNvPr>
        <xdr:cNvSpPr/>
      </xdr:nvSpPr>
      <xdr:spPr>
        <a:xfrm>
          <a:off x="102031799" y="21205370"/>
          <a:ext cx="9111344" cy="7794173"/>
        </a:xfrm>
        <a:prstGeom prst="wedgeRectCallout">
          <a:avLst>
            <a:gd name="adj1" fmla="val -9889"/>
            <a:gd name="adj2" fmla="val -6320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b="1"/>
            <a:t>シナリオ振り分け条件</a:t>
          </a:r>
          <a:endParaRPr kumimoji="1" lang="en-US" altLang="ja-JP" sz="1100" b="1"/>
        </a:p>
        <a:p>
          <a:pPr algn="l"/>
          <a:endParaRPr kumimoji="1" lang="en-US" altLang="ja-JP" sz="1100"/>
        </a:p>
        <a:p>
          <a:pPr algn="l"/>
          <a:r>
            <a:rPr kumimoji="1" lang="ja-JP" altLang="en-US" sz="1100" b="1"/>
            <a:t>シナリオ① </a:t>
          </a:r>
          <a:r>
            <a:rPr kumimoji="1" lang="en-US" altLang="ja-JP" sz="1100" b="1"/>
            <a:t>APIKey</a:t>
          </a:r>
          <a:r>
            <a:rPr kumimoji="1" lang="ja-JP" altLang="en-US" sz="1100" b="1"/>
            <a:t>設定作成</a:t>
          </a:r>
          <a:endParaRPr kumimoji="1" lang="en-US" altLang="ja-JP" sz="1100" b="1"/>
        </a:p>
        <a:p>
          <a:pPr algn="l"/>
          <a:r>
            <a:rPr kumimoji="1" lang="en-US" altLang="ja-JP" sz="1100"/>
            <a:t>1. O</a:t>
          </a:r>
          <a:r>
            <a:rPr kumimoji="1" lang="ja-JP" altLang="en-US" sz="1100"/>
            <a:t>列「</a:t>
          </a:r>
          <a:r>
            <a:rPr kumimoji="1" lang="en-US" altLang="ja-JP" sz="1100"/>
            <a:t>ACL</a:t>
          </a:r>
          <a:r>
            <a:rPr kumimoji="1" lang="en-US" altLang="ja-JP" sz="1100" baseline="0"/>
            <a:t> Name</a:t>
          </a:r>
          <a:r>
            <a:rPr kumimoji="1" lang="ja-JP" altLang="en-US" sz="1100"/>
            <a:t>」の名前が初出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シナリオ</a:t>
          </a:r>
          <a:r>
            <a:rPr kumimoji="1" lang="ja-JP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② パス書き換え設定作成</a:t>
          </a:r>
          <a:endParaRPr kumimoji="1" lang="en-US" altLang="ja-JP" sz="1100"/>
        </a:p>
        <a:p>
          <a:pPr algn="l"/>
          <a:r>
            <a:rPr kumimoji="1" lang="en-US" altLang="ja-JP" sz="1100"/>
            <a:t>1. API</a:t>
          </a:r>
          <a:r>
            <a:rPr kumimoji="1" lang="ja-JP" altLang="en-US" sz="1100"/>
            <a:t>作成時必須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シナリオ</a:t>
          </a:r>
          <a:r>
            <a:rPr kumimoji="1" lang="ja-JP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③ </a:t>
          </a:r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コンテナ</a:t>
          </a:r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API</a:t>
          </a:r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設定作成</a:t>
          </a:r>
          <a:endParaRPr lang="ja-JP" altLang="ja-JP" b="1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1. C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列「コンテナ振り分け」が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API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管理ではない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かつ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2. AS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列「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フィルタ名」が記載されていない</a:t>
          </a:r>
          <a:endParaRPr lang="ja-JP" altLang="ja-JP">
            <a:effectLst/>
          </a:endParaRPr>
        </a:p>
        <a:p>
          <a:pPr algn="l"/>
          <a:endParaRPr kumimoji="1" lang="en-US" altLang="ja-JP" sz="1100"/>
        </a:p>
        <a:p>
          <a:pPr algn="l"/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シナリオ</a:t>
          </a:r>
          <a:r>
            <a:rPr kumimoji="1" lang="ja-JP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④ コンテナ</a:t>
          </a:r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API/IP</a:t>
          </a:r>
          <a:r>
            <a:rPr kumimoji="1" lang="ja-JP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フィルタ設定作成</a:t>
          </a:r>
          <a:endParaRPr kumimoji="1" lang="en-US" altLang="ja-JP" sz="1100"/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1. C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列「コンテナ振り分け」が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API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管理ではない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かつ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2. AS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列「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フィルタ名」が記載され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ている</a:t>
          </a:r>
          <a:endParaRPr kumimoji="1" lang="en-US" altLang="ja-JP" sz="1100"/>
        </a:p>
        <a:p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4-1</a:t>
          </a:r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上記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kumimoji="1"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点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かつ</a:t>
          </a:r>
          <a:r>
            <a:rPr kumimoji="1"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BI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列「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kumimoji="1"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フィルタ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設定ファイル名」が初出</a:t>
          </a:r>
          <a:endParaRPr lang="ja-JP" altLang="ja-JP">
            <a:effectLst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4-2</a:t>
          </a:r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上記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kumimoji="1"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点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かつ</a:t>
          </a:r>
          <a:r>
            <a:rPr kumimoji="1"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BI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列「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フィルタ設定ファイル名」が初出</a:t>
          </a:r>
          <a:r>
            <a:rPr kumimoji="1"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でない</a:t>
          </a:r>
          <a:endParaRPr kumimoji="1" lang="en-US" altLang="ja-JP" sz="1100"/>
        </a:p>
        <a:p>
          <a:pPr algn="l"/>
          <a:endParaRPr kumimoji="1" lang="en-US" altLang="ja-JP" sz="1100"/>
        </a:p>
        <a:p>
          <a:pPr algn="l"/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シナリオ</a:t>
          </a:r>
          <a:r>
            <a:rPr kumimoji="1" lang="ja-JP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⑤ パススルー</a:t>
          </a:r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API</a:t>
          </a:r>
          <a:r>
            <a:rPr kumimoji="1" lang="ja-JP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設定作成</a:t>
          </a:r>
          <a:endParaRPr kumimoji="1" lang="en-US" altLang="ja-JP" sz="1100"/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1. C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列「コンテナ振り分け」が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API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管理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かつ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2. AS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列「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フィルタ名」が記載されていない</a:t>
          </a:r>
          <a:endParaRPr kumimoji="1" lang="en-US" altLang="ja-JP" sz="1100"/>
        </a:p>
        <a:p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5-1</a:t>
          </a:r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上記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点かつ</a:t>
          </a:r>
          <a:r>
            <a:rPr kumimoji="1"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BH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列「</a:t>
          </a:r>
          <a:r>
            <a:rPr kumimoji="1"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パススルー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API</a:t>
          </a:r>
          <a:r>
            <a:rPr kumimoji="1"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用サービス設定ファイル名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」が初出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5-2</a:t>
          </a:r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上記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点かつ</a:t>
          </a:r>
          <a:r>
            <a:rPr kumimoji="1"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BH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列「</a:t>
          </a:r>
          <a:r>
            <a:rPr kumimoji="1"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パススルー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API</a:t>
          </a:r>
          <a:r>
            <a:rPr kumimoji="1"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用サービス設定ファイル名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」が初出でない</a:t>
          </a:r>
          <a:endParaRPr lang="ja-JP" altLang="ja-JP">
            <a:effectLst/>
          </a:endParaRPr>
        </a:p>
        <a:p>
          <a:pPr algn="l"/>
          <a:endParaRPr kumimoji="1" lang="en-US" altLang="ja-JP" sz="1100"/>
        </a:p>
        <a:p>
          <a:pPr algn="l"/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シナリオ</a:t>
          </a:r>
          <a:r>
            <a:rPr kumimoji="1" lang="ja-JP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⑥ パススルー</a:t>
          </a:r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API/IP</a:t>
          </a:r>
          <a:r>
            <a:rPr kumimoji="1" lang="ja-JP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フィルタ設定作成</a:t>
          </a:r>
          <a:endParaRPr kumimoji="1" lang="en-US" altLang="ja-JP" sz="1100"/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1. C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列「コンテナ振り分け」が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API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管理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　かつ</a:t>
          </a:r>
          <a:endParaRPr lang="ja-JP" altLang="ja-JP">
            <a:effectLst/>
          </a:endParaRPr>
        </a:p>
        <a:p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2. AS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列「</a:t>
          </a:r>
          <a:r>
            <a:rPr kumimoji="1" lang="en-US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フィルタ名」が記載されて</a:t>
          </a:r>
          <a:r>
            <a:rPr kumimoji="1" lang="ja-JP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いる</a:t>
          </a:r>
          <a:endParaRPr kumimoji="1" lang="en-US" altLang="ja-JP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6-1</a:t>
          </a:r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上記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点</a:t>
          </a:r>
          <a:r>
            <a:rPr kumimoji="1"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かつ、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BI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列「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フィルタ設定ファイル名」が初出</a:t>
          </a:r>
          <a:r>
            <a:rPr kumimoji="1"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かつ、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BH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列「パススルー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API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用サービス設定ファイル名」が初出</a:t>
          </a:r>
          <a:endParaRPr lang="ja-JP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6-2</a:t>
          </a:r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上記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点かつ</a:t>
          </a:r>
          <a:r>
            <a:rPr kumimoji="1"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BI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列「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フィルタ設定ファイル名」が初出</a:t>
          </a:r>
          <a:r>
            <a:rPr kumimoji="1"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かつ、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BH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列「パススルー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API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用サービス設定ファイル名」が初出でない</a:t>
          </a:r>
          <a:endParaRPr lang="ja-JP" altLang="ja-JP">
            <a:effectLst/>
          </a:endParaRPr>
        </a:p>
        <a:p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6-3</a:t>
          </a:r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上記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点かつ</a:t>
          </a:r>
          <a:r>
            <a:rPr kumimoji="1"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BI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列「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フィルタ設定ファイル名」が初出</a:t>
          </a:r>
          <a:r>
            <a:rPr kumimoji="1"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でない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かつ、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BH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列「パススルー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API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用サービス設定ファイル名」が初出</a:t>
          </a:r>
          <a:endParaRPr lang="ja-JP" altLang="ja-JP">
            <a:effectLst/>
          </a:endParaRPr>
        </a:p>
        <a:p>
          <a:pPr eaLnBrk="1" fontAlgn="auto" latinLnBrk="0" hangingPunct="1"/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6-4</a:t>
          </a:r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上記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点かつ</a:t>
          </a:r>
          <a:r>
            <a:rPr kumimoji="1"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BI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列「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IP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フィルタ設定ファイル名」が初出</a:t>
          </a:r>
          <a:r>
            <a:rPr kumimoji="1"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でない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かつ、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BH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列「パススルー</a:t>
          </a:r>
          <a:r>
            <a:rPr kumimoji="1"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API</a:t>
          </a:r>
          <a:r>
            <a:rPr kumimoji="1" lang="ja-JP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用サービス設定ファイル名」が初出</a:t>
          </a:r>
          <a:r>
            <a:rPr kumimoji="1"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でない</a:t>
          </a:r>
          <a:endParaRPr lang="ja-JP" altLang="ja-JP">
            <a:effectLst/>
          </a:endParaRPr>
        </a:p>
        <a:p>
          <a:pPr algn="l"/>
          <a:endParaRPr kumimoji="1" lang="en-US" altLang="ja-JP" sz="1100"/>
        </a:p>
        <a:p>
          <a:pPr algn="l"/>
          <a:r>
            <a:rPr kumimoji="1" lang="ja-JP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シナリオ</a:t>
          </a:r>
          <a:r>
            <a:rPr kumimoji="1" lang="ja-JP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⑦ </a:t>
          </a:r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API</a:t>
          </a:r>
          <a:r>
            <a:rPr kumimoji="1" lang="ja-JP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設定更新</a:t>
          </a:r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(Path</a:t>
          </a:r>
          <a:r>
            <a:rPr kumimoji="1" lang="ja-JP" altLang="en-US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追加</a:t>
          </a:r>
          <a:r>
            <a:rPr kumimoji="1" lang="en-US" altLang="ja-JP" sz="11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kumimoji="1" lang="en-US" altLang="ja-JP" sz="1100"/>
        </a:p>
        <a:p>
          <a:pPr algn="l"/>
          <a:r>
            <a:rPr kumimoji="1" lang="ja-JP" altLang="en-US" sz="1100"/>
            <a:t>削除予定</a:t>
          </a:r>
          <a:endParaRPr kumimoji="1" lang="en-US" altLang="ja-JP" sz="1100"/>
        </a:p>
      </xdr:txBody>
    </xdr:sp>
    <xdr:clientData/>
  </xdr:twoCellAnchor>
  <xdr:twoCellAnchor>
    <xdr:from>
      <xdr:col>9</xdr:col>
      <xdr:colOff>585853</xdr:colOff>
      <xdr:row>20</xdr:row>
      <xdr:rowOff>83740</xdr:rowOff>
    </xdr:from>
    <xdr:to>
      <xdr:col>10</xdr:col>
      <xdr:colOff>2993572</xdr:colOff>
      <xdr:row>23</xdr:row>
      <xdr:rowOff>90434</xdr:rowOff>
    </xdr:to>
    <xdr:sp macro="" textlink="">
      <xdr:nvSpPr>
        <xdr:cNvPr id="14" name="吹き出し: 四角形 13">
          <a:extLst>
            <a:ext uri="{FF2B5EF4-FFF2-40B4-BE49-F238E27FC236}">
              <a16:creationId xmlns:a16="http://schemas.microsoft.com/office/drawing/2014/main" id="{9D87892B-F123-454B-868F-F93E1BAA5FC1}"/>
            </a:ext>
          </a:extLst>
        </xdr:cNvPr>
        <xdr:cNvSpPr/>
      </xdr:nvSpPr>
      <xdr:spPr>
        <a:xfrm>
          <a:off x="16881767" y="20537997"/>
          <a:ext cx="3082634" cy="594523"/>
        </a:xfrm>
        <a:prstGeom prst="wedgeRectCallout">
          <a:avLst>
            <a:gd name="adj1" fmla="val -20456"/>
            <a:gd name="adj2" fmla="val -1199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0"/>
            <a:t>API</a:t>
          </a:r>
          <a:r>
            <a:rPr kumimoji="1" lang="ja-JP" altLang="en-US" sz="1100" b="0"/>
            <a:t>設定名の構成</a:t>
          </a:r>
          <a:endParaRPr kumimoji="1" lang="en-US" altLang="ja-JP" sz="1100" b="0"/>
        </a:p>
        <a:p>
          <a:pPr algn="l"/>
          <a:r>
            <a:rPr kumimoji="1" lang="en-US" altLang="ja-JP" sz="1100" b="0"/>
            <a:t>G</a:t>
          </a:r>
          <a:r>
            <a:rPr kumimoji="1" lang="ja-JP" altLang="en-US" sz="1100" b="0"/>
            <a:t>列「</a:t>
          </a:r>
          <a:r>
            <a:rPr kumimoji="1" lang="en-US" altLang="ja-JP" sz="1100" b="0"/>
            <a:t>Service Name</a:t>
          </a:r>
          <a:r>
            <a:rPr kumimoji="1" lang="ja-JP" altLang="en-US" sz="1100" b="0"/>
            <a:t>」</a:t>
          </a:r>
          <a:r>
            <a:rPr kumimoji="1" lang="en-US" altLang="ja-JP" sz="1100" b="0"/>
            <a:t>+ </a:t>
          </a:r>
          <a:r>
            <a:rPr kumimoji="1" lang="ja-JP" altLang="en-US" sz="1100" b="0"/>
            <a:t>シナリオ番号 </a:t>
          </a:r>
          <a:r>
            <a:rPr kumimoji="1" lang="en-US" altLang="ja-JP" sz="1100" b="0"/>
            <a:t>+ ingress</a:t>
          </a:r>
        </a:p>
      </xdr:txBody>
    </xdr:sp>
    <xdr:clientData/>
  </xdr:twoCellAnchor>
  <xdr:twoCellAnchor>
    <xdr:from>
      <xdr:col>14</xdr:col>
      <xdr:colOff>3808024</xdr:colOff>
      <xdr:row>20</xdr:row>
      <xdr:rowOff>94625</xdr:rowOff>
    </xdr:from>
    <xdr:to>
      <xdr:col>15</xdr:col>
      <xdr:colOff>2373086</xdr:colOff>
      <xdr:row>23</xdr:row>
      <xdr:rowOff>101319</xdr:rowOff>
    </xdr:to>
    <xdr:sp macro="" textlink="">
      <xdr:nvSpPr>
        <xdr:cNvPr id="15" name="吹き出し: 四角形 14">
          <a:extLst>
            <a:ext uri="{FF2B5EF4-FFF2-40B4-BE49-F238E27FC236}">
              <a16:creationId xmlns:a16="http://schemas.microsoft.com/office/drawing/2014/main" id="{350AF176-3198-4C71-8D26-73FEBFEF7BF5}"/>
            </a:ext>
          </a:extLst>
        </xdr:cNvPr>
        <xdr:cNvSpPr/>
      </xdr:nvSpPr>
      <xdr:spPr>
        <a:xfrm>
          <a:off x="33297424" y="20548882"/>
          <a:ext cx="2440376" cy="594523"/>
        </a:xfrm>
        <a:prstGeom prst="wedgeRectCallout">
          <a:avLst>
            <a:gd name="adj1" fmla="val -20456"/>
            <a:gd name="adj2" fmla="val -1199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0"/>
            <a:t>Path</a:t>
          </a:r>
          <a:r>
            <a:rPr kumimoji="1" lang="ja-JP" altLang="en-US" sz="1100" b="0"/>
            <a:t>書き換え設定名の構成</a:t>
          </a:r>
          <a:endParaRPr kumimoji="1" lang="en-US" altLang="ja-JP" sz="1100" b="0"/>
        </a:p>
        <a:p>
          <a:pPr algn="l"/>
          <a:r>
            <a:rPr kumimoji="1" lang="en-US" altLang="ja-JP" sz="1100" b="0"/>
            <a:t>G</a:t>
          </a:r>
          <a:r>
            <a:rPr kumimoji="1" lang="ja-JP" altLang="en-US" sz="1100" b="0"/>
            <a:t>列「</a:t>
          </a:r>
          <a:r>
            <a:rPr kumimoji="1" lang="en-US" altLang="ja-JP" sz="1100" b="0"/>
            <a:t>Service Name</a:t>
          </a:r>
          <a:r>
            <a:rPr kumimoji="1" lang="ja-JP" altLang="en-US" sz="1100" b="0"/>
            <a:t>」</a:t>
          </a:r>
          <a:r>
            <a:rPr kumimoji="1" lang="en-US" altLang="ja-JP" sz="1100" b="0"/>
            <a:t>+ rewrite-path</a:t>
          </a:r>
        </a:p>
      </xdr:txBody>
    </xdr:sp>
    <xdr:clientData/>
  </xdr:twoCellAnchor>
  <xdr:twoCellAnchor>
    <xdr:from>
      <xdr:col>57</xdr:col>
      <xdr:colOff>3233056</xdr:colOff>
      <xdr:row>20</xdr:row>
      <xdr:rowOff>108857</xdr:rowOff>
    </xdr:from>
    <xdr:to>
      <xdr:col>58</xdr:col>
      <xdr:colOff>3396342</xdr:colOff>
      <xdr:row>23</xdr:row>
      <xdr:rowOff>115551</xdr:rowOff>
    </xdr:to>
    <xdr:sp macro="" textlink="">
      <xdr:nvSpPr>
        <xdr:cNvPr id="16" name="吹き出し: 四角形 15">
          <a:extLst>
            <a:ext uri="{FF2B5EF4-FFF2-40B4-BE49-F238E27FC236}">
              <a16:creationId xmlns:a16="http://schemas.microsoft.com/office/drawing/2014/main" id="{65CDD4CA-4BE2-4925-AF01-A58C930BCB31}"/>
            </a:ext>
          </a:extLst>
        </xdr:cNvPr>
        <xdr:cNvSpPr/>
      </xdr:nvSpPr>
      <xdr:spPr>
        <a:xfrm>
          <a:off x="94912542" y="20563114"/>
          <a:ext cx="3396343" cy="594523"/>
        </a:xfrm>
        <a:prstGeom prst="wedgeRectCallout">
          <a:avLst>
            <a:gd name="adj1" fmla="val -20456"/>
            <a:gd name="adj2" fmla="val -1199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0"/>
            <a:t>API</a:t>
          </a:r>
          <a:r>
            <a:rPr kumimoji="1" lang="ja-JP" altLang="en-US" sz="1100" b="0"/>
            <a:t>設定ファイル名の構成</a:t>
          </a:r>
          <a:endParaRPr kumimoji="1" lang="en-US" altLang="ja-JP" sz="1100" b="0"/>
        </a:p>
        <a:p>
          <a:pPr algn="l"/>
          <a:r>
            <a:rPr kumimoji="1" lang="en-US" altLang="ja-JP" sz="1100" b="0"/>
            <a:t>G</a:t>
          </a:r>
          <a:r>
            <a:rPr kumimoji="1" lang="ja-JP" altLang="en-US" sz="1100" b="0"/>
            <a:t>列「</a:t>
          </a:r>
          <a:r>
            <a:rPr kumimoji="1" lang="en-US" altLang="ja-JP" sz="1100" b="0"/>
            <a:t>Service Name</a:t>
          </a:r>
          <a:r>
            <a:rPr kumimoji="1" lang="ja-JP" altLang="en-US" sz="1100" b="0"/>
            <a:t>」</a:t>
          </a:r>
          <a:r>
            <a:rPr kumimoji="1" lang="en-US" altLang="ja-JP" sz="1100" b="0"/>
            <a:t>+ </a:t>
          </a:r>
          <a:r>
            <a:rPr kumimoji="1" lang="ja-JP" altLang="en-US" sz="1100" b="0"/>
            <a:t>シナリオ番号 </a:t>
          </a:r>
          <a:r>
            <a:rPr kumimoji="1" lang="en-US" altLang="ja-JP" sz="1100" b="0"/>
            <a:t>+ ingress.yaml</a:t>
          </a:r>
        </a:p>
      </xdr:txBody>
    </xdr:sp>
    <xdr:clientData/>
  </xdr:twoCellAnchor>
  <xdr:twoCellAnchor>
    <xdr:from>
      <xdr:col>56</xdr:col>
      <xdr:colOff>729343</xdr:colOff>
      <xdr:row>20</xdr:row>
      <xdr:rowOff>97971</xdr:rowOff>
    </xdr:from>
    <xdr:to>
      <xdr:col>57</xdr:col>
      <xdr:colOff>2601685</xdr:colOff>
      <xdr:row>23</xdr:row>
      <xdr:rowOff>104665</xdr:rowOff>
    </xdr:to>
    <xdr:sp macro="" textlink="">
      <xdr:nvSpPr>
        <xdr:cNvPr id="17" name="吹き出し: 四角形 16">
          <a:extLst>
            <a:ext uri="{FF2B5EF4-FFF2-40B4-BE49-F238E27FC236}">
              <a16:creationId xmlns:a16="http://schemas.microsoft.com/office/drawing/2014/main" id="{5E35C081-97BC-44C7-9223-355323CF3A00}"/>
            </a:ext>
          </a:extLst>
        </xdr:cNvPr>
        <xdr:cNvSpPr/>
      </xdr:nvSpPr>
      <xdr:spPr>
        <a:xfrm>
          <a:off x="91635943" y="20552228"/>
          <a:ext cx="2645228" cy="594523"/>
        </a:xfrm>
        <a:prstGeom prst="wedgeRectCallout">
          <a:avLst>
            <a:gd name="adj1" fmla="val -20456"/>
            <a:gd name="adj2" fmla="val -1199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 b="0"/>
            <a:t>Path</a:t>
          </a:r>
          <a:r>
            <a:rPr kumimoji="1" lang="ja-JP" altLang="en-US" sz="1100" b="0"/>
            <a:t>書き換え設定ファイル名の構成</a:t>
          </a:r>
          <a:endParaRPr kumimoji="1" lang="en-US" altLang="ja-JP" sz="1100" b="0"/>
        </a:p>
        <a:p>
          <a:pPr algn="l"/>
          <a:r>
            <a:rPr kumimoji="1" lang="en-US" altLang="ja-JP" sz="1100" b="0"/>
            <a:t>G</a:t>
          </a:r>
          <a:r>
            <a:rPr kumimoji="1" lang="ja-JP" altLang="en-US" sz="1100" b="0"/>
            <a:t>列「</a:t>
          </a:r>
          <a:r>
            <a:rPr kumimoji="1" lang="en-US" altLang="ja-JP" sz="1100" b="0"/>
            <a:t>Service Name</a:t>
          </a:r>
          <a:r>
            <a:rPr kumimoji="1" lang="ja-JP" altLang="en-US" sz="1100" b="0"/>
            <a:t>」</a:t>
          </a:r>
          <a:r>
            <a:rPr kumimoji="1" lang="en-US" altLang="ja-JP" sz="1100" b="0"/>
            <a:t>+ rewrite-path.yaml</a:t>
          </a:r>
        </a:p>
      </xdr:txBody>
    </xdr:sp>
    <xdr:clientData/>
  </xdr:twoCellAnchor>
  <xdr:twoCellAnchor>
    <xdr:from>
      <xdr:col>1</xdr:col>
      <xdr:colOff>95250</xdr:colOff>
      <xdr:row>19</xdr:row>
      <xdr:rowOff>136071</xdr:rowOff>
    </xdr:from>
    <xdr:to>
      <xdr:col>5</xdr:col>
      <xdr:colOff>135830</xdr:colOff>
      <xdr:row>25</xdr:row>
      <xdr:rowOff>198957</xdr:rowOff>
    </xdr:to>
    <xdr:sp macro="" textlink="">
      <xdr:nvSpPr>
        <xdr:cNvPr id="13" name="吹き出し: 四角形 12">
          <a:extLst>
            <a:ext uri="{FF2B5EF4-FFF2-40B4-BE49-F238E27FC236}">
              <a16:creationId xmlns:a16="http://schemas.microsoft.com/office/drawing/2014/main" id="{A3C4F59F-47AA-41CC-86ED-E8F500EB6659}"/>
            </a:ext>
          </a:extLst>
        </xdr:cNvPr>
        <xdr:cNvSpPr/>
      </xdr:nvSpPr>
      <xdr:spPr>
        <a:xfrm>
          <a:off x="1279071" y="26302607"/>
          <a:ext cx="5197688" cy="1287529"/>
        </a:xfrm>
        <a:prstGeom prst="wedgeRectCallout">
          <a:avLst>
            <a:gd name="adj1" fmla="val -21396"/>
            <a:gd name="adj2" fmla="val -73654"/>
          </a:avLst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rtl="0" eaLnBrk="1" fontAlgn="ctr" latinLnBrk="0" hangingPunct="1"/>
          <a:r>
            <a:rPr lang="ja-JP" altLang="en-US" sz="1100" b="0">
              <a:solidFill>
                <a:schemeClr val="lt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新規</a:t>
          </a:r>
          <a:r>
            <a:rPr lang="en-US" altLang="ja-JP" sz="1100" b="0">
              <a:solidFill>
                <a:schemeClr val="lt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API</a:t>
          </a:r>
          <a:r>
            <a:rPr lang="ja-JP" altLang="en-US" sz="1100" b="0">
              <a:solidFill>
                <a:schemeClr val="lt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は既存</a:t>
          </a:r>
          <a:r>
            <a:rPr lang="en-US" altLang="ja-JP" sz="1100" b="0">
              <a:solidFill>
                <a:schemeClr val="lt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API</a:t>
          </a:r>
          <a:r>
            <a:rPr lang="ja-JP" altLang="en-US" sz="1100" b="0">
              <a:solidFill>
                <a:schemeClr val="lt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記載の下部に追記してください</a:t>
          </a:r>
        </a:p>
        <a:p>
          <a:pPr rtl="0" eaLnBrk="1" fontAlgn="ctr" latinLnBrk="0" hangingPunct="1"/>
          <a:r>
            <a:rPr lang="ja-JP" altLang="en-US" sz="1100" b="0">
              <a:solidFill>
                <a:schemeClr val="lt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設定変更時</a:t>
          </a:r>
          <a:r>
            <a:rPr lang="en-US" altLang="ja-JP" sz="1100" b="0">
              <a:solidFill>
                <a:schemeClr val="lt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(APIKey</a:t>
          </a:r>
          <a:r>
            <a:rPr lang="ja-JP" altLang="ja-JP" sz="1100" b="0">
              <a:solidFill>
                <a:schemeClr val="lt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の追加など</a:t>
          </a:r>
          <a:r>
            <a:rPr lang="en-US" altLang="ja-JP" sz="1100" b="0">
              <a:solidFill>
                <a:schemeClr val="lt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)</a:t>
          </a:r>
          <a:r>
            <a:rPr lang="ja-JP" altLang="en-US" sz="1100" b="0">
              <a:solidFill>
                <a:schemeClr val="lt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は、以下の</a:t>
          </a:r>
          <a:r>
            <a:rPr lang="en-US" altLang="ja-JP" sz="1100" b="0">
              <a:solidFill>
                <a:schemeClr val="lt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2</a:t>
          </a:r>
          <a:r>
            <a:rPr lang="ja-JP" altLang="en-US" sz="1100" b="0">
              <a:solidFill>
                <a:schemeClr val="lt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点を実施してください</a:t>
          </a:r>
        </a:p>
        <a:p>
          <a:pPr rtl="0" eaLnBrk="1" fontAlgn="ctr" latinLnBrk="0" hangingPunct="1"/>
          <a:r>
            <a:rPr lang="en-US" altLang="ja-JP" sz="1100" b="0">
              <a:solidFill>
                <a:schemeClr val="lt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1.</a:t>
          </a:r>
          <a:r>
            <a:rPr lang="ja-JP" altLang="en-US" sz="1100" b="0">
              <a:solidFill>
                <a:schemeClr val="lt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元の</a:t>
          </a:r>
          <a:r>
            <a:rPr lang="en-US" altLang="ja-JP" sz="1100" b="0">
              <a:solidFill>
                <a:schemeClr val="lt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API</a:t>
          </a:r>
          <a:r>
            <a:rPr lang="ja-JP" altLang="en-US" sz="1100" b="0">
              <a:solidFill>
                <a:schemeClr val="lt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設定行をグレーアウトして、</a:t>
          </a:r>
          <a:r>
            <a:rPr lang="en-US" altLang="ja-JP" sz="1100" b="0">
              <a:solidFill>
                <a:schemeClr val="lt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BR</a:t>
          </a:r>
          <a:r>
            <a:rPr lang="ja-JP" altLang="en-US" sz="1100" b="0">
              <a:solidFill>
                <a:schemeClr val="lt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列の「</a:t>
          </a:r>
          <a:r>
            <a:rPr lang="en-US" altLang="ja-JP" sz="1100" b="0">
              <a:solidFill>
                <a:schemeClr val="lt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API</a:t>
          </a:r>
          <a:r>
            <a:rPr lang="ja-JP" altLang="en-US" sz="1100" b="0">
              <a:solidFill>
                <a:schemeClr val="lt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削除希望フラグ」に✔をつける</a:t>
          </a:r>
        </a:p>
        <a:p>
          <a:pPr rtl="0" eaLnBrk="1" fontAlgn="ctr" latinLnBrk="0" hangingPunct="1"/>
          <a:r>
            <a:rPr lang="en-US" altLang="ja-JP" sz="1100" b="0">
              <a:solidFill>
                <a:schemeClr val="lt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2.</a:t>
          </a:r>
          <a:r>
            <a:rPr lang="ja-JP" altLang="en-US" sz="1100" b="0">
              <a:solidFill>
                <a:schemeClr val="lt1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新規行を追加する</a:t>
          </a:r>
          <a:endParaRPr lang="en-US" altLang="ja-JP" sz="1100" b="0">
            <a:solidFill>
              <a:schemeClr val="lt1"/>
            </a:solidFill>
            <a:effectLst/>
            <a:latin typeface="Meiryo UI" panose="020B0604030504040204" pitchFamily="50" charset="-128"/>
            <a:ea typeface="Meiryo UI" panose="020B0604030504040204" pitchFamily="50" charset="-128"/>
            <a:cs typeface="+mn-cs"/>
          </a:endParaRPr>
        </a:p>
        <a:p>
          <a:pPr rtl="0" eaLnBrk="1" fontAlgn="ctr" latinLnBrk="0" hangingPunct="1"/>
          <a:r>
            <a:rPr lang="en-US" altLang="ja-JP" sz="1100" b="1">
              <a:solidFill>
                <a:srgbClr val="FFFF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※</a:t>
          </a:r>
          <a:r>
            <a:rPr lang="ja-JP" altLang="en-US" sz="1100" b="1">
              <a:solidFill>
                <a:srgbClr val="FFFF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リストに行を追加する際は必ず</a:t>
          </a:r>
          <a:r>
            <a:rPr lang="ja-JP" altLang="en-US" sz="1100" b="1" u="sng">
              <a:solidFill>
                <a:srgbClr val="FFFF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テンプレ行</a:t>
          </a:r>
          <a:r>
            <a:rPr lang="ja-JP" altLang="en-US" sz="1100" b="1">
              <a:solidFill>
                <a:srgbClr val="FFFF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  <a:cs typeface="+mn-cs"/>
            </a:rPr>
            <a:t>をコピーして追加してください。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autoPageBreaks="0"/>
  </sheetPr>
  <dimension ref="A1:CH19"/>
  <sheetViews>
    <sheetView showGridLines="0" tabSelected="1" topLeftCell="A3" zoomScale="88" zoomScaleNormal="85" workbookViewId="0">
      <pane xSplit="6" ySplit="6" topLeftCell="G9" activePane="bottomRight" state="frozen"/>
      <selection activeCell="A3" sqref="A3"/>
      <selection pane="topRight" activeCell="G3" sqref="G3"/>
      <selection pane="bottomLeft" activeCell="A9" sqref="A9"/>
      <selection pane="bottomRight" activeCell="A3" sqref="A3"/>
    </sheetView>
  </sheetViews>
  <sheetFormatPr defaultColWidth="8.54296875" defaultRowHeight="15.75" customHeight="1" x14ac:dyDescent="0.3"/>
  <cols>
    <col min="1" max="1" width="13.81640625" style="10" bestFit="1" customWidth="1"/>
    <col min="2" max="2" width="13.36328125" style="10" bestFit="1" customWidth="1"/>
    <col min="3" max="3" width="13.90625" style="10" customWidth="1"/>
    <col min="4" max="4" width="8.08984375" style="10" customWidth="1"/>
    <col min="5" max="5" width="8.1796875" style="10" customWidth="1"/>
    <col min="6" max="6" width="31.90625" style="10" customWidth="1"/>
    <col min="7" max="7" width="34" style="24" customWidth="1"/>
    <col min="8" max="8" width="33.81640625" style="10" bestFit="1" customWidth="1"/>
    <col min="9" max="9" width="31.36328125" style="10" customWidth="1"/>
    <col min="10" max="10" width="8.08984375" style="10" customWidth="1"/>
    <col min="11" max="11" width="97.1796875" style="10" bestFit="1" customWidth="1"/>
    <col min="12" max="14" width="17.453125" style="10" customWidth="1"/>
    <col min="15" max="15" width="46.1796875" style="10" customWidth="1"/>
    <col min="16" max="16" width="34.08984375" style="10" customWidth="1"/>
    <col min="17" max="17" width="38.90625" style="10" customWidth="1"/>
    <col min="18" max="19" width="24.453125" style="10" customWidth="1"/>
    <col min="20" max="20" width="19.90625" style="10" customWidth="1"/>
    <col min="21" max="21" width="40.6328125" style="10" customWidth="1"/>
    <col min="22" max="22" width="28.81640625" style="10" customWidth="1"/>
    <col min="23" max="23" width="34.54296875" style="10" customWidth="1"/>
    <col min="24" max="24" width="32.1796875" style="10" customWidth="1"/>
    <col min="25" max="26" width="34.54296875" style="10" customWidth="1"/>
    <col min="27" max="27" width="10.54296875" style="10" customWidth="1"/>
    <col min="28" max="28" width="25.08984375" style="10" customWidth="1"/>
    <col min="29" max="36" width="6.36328125" style="10" customWidth="1"/>
    <col min="37" max="40" width="26.453125" style="10" customWidth="1"/>
    <col min="41" max="44" width="8" style="10" customWidth="1"/>
    <col min="45" max="45" width="13.1796875" style="10" customWidth="1"/>
    <col min="46" max="50" width="9.1796875" style="10" customWidth="1"/>
    <col min="51" max="51" width="9.1796875" style="10" bestFit="1" customWidth="1"/>
    <col min="52" max="57" width="9.1796875" style="10" customWidth="1"/>
    <col min="58" max="58" width="38.54296875" style="10" bestFit="1" customWidth="1"/>
    <col min="59" max="59" width="73.6328125" style="10" customWidth="1"/>
    <col min="60" max="60" width="26.36328125" style="10" bestFit="1" customWidth="1"/>
    <col min="61" max="61" width="16.453125" style="10" bestFit="1" customWidth="1"/>
    <col min="62" max="68" width="11.1796875" style="14" customWidth="1"/>
    <col min="69" max="69" width="11.36328125" style="10" bestFit="1" customWidth="1"/>
    <col min="70" max="70" width="8.36328125" style="10" customWidth="1"/>
    <col min="71" max="74" width="10.54296875" style="10" customWidth="1"/>
    <col min="75" max="75" width="77.81640625" style="10" bestFit="1" customWidth="1"/>
    <col min="76" max="76" width="87.453125" style="10" bestFit="1" customWidth="1"/>
    <col min="77" max="77" width="83.81640625" style="10" bestFit="1" customWidth="1"/>
    <col min="78" max="78" width="95.6328125" style="10" bestFit="1" customWidth="1"/>
    <col min="79" max="79" width="93.1796875" style="10" customWidth="1"/>
    <col min="80" max="80" width="89.453125" style="10" customWidth="1"/>
    <col min="81" max="81" width="82.36328125" style="10" customWidth="1"/>
    <col min="82" max="82" width="97.81640625" style="10" bestFit="1" customWidth="1"/>
    <col min="83" max="85" width="10.54296875" style="10" customWidth="1"/>
    <col min="86" max="86" width="19.1796875" style="10" customWidth="1"/>
    <col min="87" max="16384" width="8.54296875" style="10"/>
  </cols>
  <sheetData>
    <row r="1" spans="1:86" ht="15.75" customHeight="1" x14ac:dyDescent="0.3">
      <c r="B1" s="20" t="s">
        <v>65</v>
      </c>
      <c r="C1" s="18" t="s">
        <v>150</v>
      </c>
      <c r="D1" s="19"/>
      <c r="E1" s="56" t="s">
        <v>163</v>
      </c>
      <c r="G1" s="45" t="s">
        <v>149</v>
      </c>
      <c r="AA1" s="45" t="s">
        <v>146</v>
      </c>
      <c r="AS1" s="45" t="s">
        <v>147</v>
      </c>
    </row>
    <row r="2" spans="1:86" ht="14.4" x14ac:dyDescent="0.3">
      <c r="G2" s="10"/>
    </row>
    <row r="3" spans="1:86" ht="14.4" x14ac:dyDescent="0.3">
      <c r="G3" s="10"/>
      <c r="K3" s="12" t="s">
        <v>61</v>
      </c>
      <c r="U3" s="12" t="s">
        <v>62</v>
      </c>
      <c r="V3" s="12" t="s">
        <v>63</v>
      </c>
      <c r="W3" s="12" t="s">
        <v>64</v>
      </c>
      <c r="X3" s="12" t="s">
        <v>64</v>
      </c>
      <c r="Y3" s="12" t="s">
        <v>64</v>
      </c>
      <c r="Z3" s="12" t="s">
        <v>64</v>
      </c>
    </row>
    <row r="4" spans="1:86" ht="15.6" customHeight="1" x14ac:dyDescent="0.3">
      <c r="K4" s="12" t="s">
        <v>35</v>
      </c>
      <c r="O4" s="12" t="s">
        <v>36</v>
      </c>
      <c r="P4" s="12" t="s">
        <v>39</v>
      </c>
      <c r="U4" s="12" t="s">
        <v>40</v>
      </c>
      <c r="V4" s="12" t="s">
        <v>100</v>
      </c>
      <c r="W4" s="12" t="s">
        <v>102</v>
      </c>
      <c r="X4" s="12" t="s">
        <v>102</v>
      </c>
      <c r="Y4" s="12" t="s">
        <v>102</v>
      </c>
      <c r="Z4" s="12" t="s">
        <v>102</v>
      </c>
      <c r="AB4" s="12" t="s">
        <v>48</v>
      </c>
      <c r="AC4" s="12" t="s">
        <v>49</v>
      </c>
      <c r="AD4" s="12"/>
      <c r="AE4" s="12"/>
      <c r="AF4" s="12"/>
      <c r="AG4" s="12" t="s">
        <v>50</v>
      </c>
      <c r="AH4" s="12"/>
      <c r="AI4" s="12"/>
      <c r="AJ4" s="12"/>
      <c r="AK4" s="12" t="s">
        <v>51</v>
      </c>
      <c r="AL4" s="12" t="s">
        <v>51</v>
      </c>
      <c r="AM4" s="12" t="s">
        <v>51</v>
      </c>
      <c r="AN4" s="12" t="s">
        <v>51</v>
      </c>
      <c r="AS4" s="12" t="s">
        <v>104</v>
      </c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</row>
    <row r="5" spans="1:86" ht="15.6" customHeight="1" x14ac:dyDescent="0.3">
      <c r="K5" s="12" t="s">
        <v>37</v>
      </c>
      <c r="O5" s="12" t="s">
        <v>38</v>
      </c>
      <c r="P5" s="12" t="s">
        <v>46</v>
      </c>
      <c r="U5" s="12" t="s">
        <v>47</v>
      </c>
      <c r="V5" s="12" t="s">
        <v>101</v>
      </c>
      <c r="W5" s="12" t="s">
        <v>103</v>
      </c>
      <c r="X5" s="12" t="s">
        <v>103</v>
      </c>
      <c r="Y5" s="12" t="s">
        <v>103</v>
      </c>
      <c r="Z5" s="12" t="s">
        <v>103</v>
      </c>
      <c r="AS5" s="12" t="s">
        <v>30</v>
      </c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J5" s="13"/>
      <c r="BQ5" s="28"/>
      <c r="BR5" s="28"/>
      <c r="BS5" s="28"/>
      <c r="BT5" s="28"/>
      <c r="BU5" s="28"/>
      <c r="BV5" s="28"/>
      <c r="BW5" s="28"/>
      <c r="BX5" s="28"/>
      <c r="BY5" s="28"/>
      <c r="BZ5" s="28"/>
      <c r="CA5" s="28"/>
      <c r="CB5" s="28"/>
      <c r="CC5" s="28"/>
      <c r="CD5" s="28"/>
      <c r="CE5" s="28"/>
      <c r="CF5" s="28"/>
      <c r="CG5" s="28"/>
    </row>
    <row r="6" spans="1:86" ht="15" customHeight="1" thickBot="1" x14ac:dyDescent="0.35">
      <c r="B6" s="11" t="s">
        <v>28</v>
      </c>
      <c r="C6" s="11" t="s">
        <v>28</v>
      </c>
      <c r="D6" s="10" t="s">
        <v>85</v>
      </c>
      <c r="E6" s="47" t="s">
        <v>28</v>
      </c>
      <c r="F6" s="47" t="s">
        <v>28</v>
      </c>
      <c r="G6" s="11" t="s">
        <v>28</v>
      </c>
      <c r="H6" s="11" t="s">
        <v>28</v>
      </c>
      <c r="I6" s="11" t="s">
        <v>28</v>
      </c>
      <c r="J6" s="11" t="s">
        <v>28</v>
      </c>
      <c r="K6" s="10" t="s">
        <v>85</v>
      </c>
      <c r="L6" s="11" t="s">
        <v>28</v>
      </c>
      <c r="M6" s="47" t="s">
        <v>28</v>
      </c>
      <c r="N6" s="47" t="s">
        <v>28</v>
      </c>
      <c r="O6" s="10" t="s">
        <v>85</v>
      </c>
      <c r="P6" s="10" t="s">
        <v>85</v>
      </c>
      <c r="Q6" s="10" t="s">
        <v>85</v>
      </c>
      <c r="R6" s="10" t="s">
        <v>85</v>
      </c>
      <c r="S6" s="10" t="s">
        <v>85</v>
      </c>
      <c r="T6" s="10" t="s">
        <v>85</v>
      </c>
      <c r="U6" s="10" t="s">
        <v>91</v>
      </c>
      <c r="V6" s="10" t="s">
        <v>91</v>
      </c>
      <c r="W6" s="10" t="s">
        <v>85</v>
      </c>
      <c r="X6" s="10" t="s">
        <v>85</v>
      </c>
      <c r="Y6" s="10" t="s">
        <v>85</v>
      </c>
      <c r="Z6" s="10" t="s">
        <v>85</v>
      </c>
      <c r="AA6" s="11" t="s">
        <v>28</v>
      </c>
      <c r="AB6" s="10" t="s">
        <v>85</v>
      </c>
      <c r="AC6" s="11" t="s">
        <v>28</v>
      </c>
      <c r="AD6" s="11" t="s">
        <v>28</v>
      </c>
      <c r="AE6" s="11" t="s">
        <v>28</v>
      </c>
      <c r="AF6" s="11" t="s">
        <v>28</v>
      </c>
      <c r="AG6" s="11" t="s">
        <v>28</v>
      </c>
      <c r="AH6" s="11" t="s">
        <v>28</v>
      </c>
      <c r="AI6" s="11" t="s">
        <v>28</v>
      </c>
      <c r="AJ6" s="11" t="s">
        <v>28</v>
      </c>
      <c r="AK6" s="11" t="s">
        <v>28</v>
      </c>
      <c r="AL6" s="11" t="s">
        <v>28</v>
      </c>
      <c r="AM6" s="11" t="s">
        <v>28</v>
      </c>
      <c r="AN6" s="11" t="s">
        <v>28</v>
      </c>
      <c r="AO6" s="47" t="s">
        <v>28</v>
      </c>
      <c r="AP6" s="47" t="s">
        <v>28</v>
      </c>
      <c r="AQ6" s="47" t="s">
        <v>28</v>
      </c>
      <c r="AR6" s="47" t="s">
        <v>28</v>
      </c>
      <c r="AS6" s="47" t="s">
        <v>28</v>
      </c>
      <c r="AT6" s="47" t="s">
        <v>28</v>
      </c>
      <c r="AU6" s="47" t="s">
        <v>28</v>
      </c>
      <c r="AV6" s="47" t="s">
        <v>28</v>
      </c>
      <c r="AW6" s="47" t="s">
        <v>28</v>
      </c>
      <c r="AX6" s="47" t="s">
        <v>28</v>
      </c>
      <c r="AY6" s="47" t="s">
        <v>28</v>
      </c>
      <c r="AZ6" s="47" t="s">
        <v>28</v>
      </c>
      <c r="BA6" s="47" t="s">
        <v>28</v>
      </c>
      <c r="BB6" s="47" t="s">
        <v>28</v>
      </c>
      <c r="BC6" s="47" t="s">
        <v>28</v>
      </c>
      <c r="BD6" s="47" t="s">
        <v>28</v>
      </c>
      <c r="BE6" s="47" t="s">
        <v>28</v>
      </c>
      <c r="BF6" s="10" t="s">
        <v>85</v>
      </c>
      <c r="BG6" s="10" t="s">
        <v>85</v>
      </c>
      <c r="BH6" s="10" t="s">
        <v>85</v>
      </c>
      <c r="BI6" s="10" t="s">
        <v>85</v>
      </c>
      <c r="BJ6" s="10" t="s">
        <v>85</v>
      </c>
      <c r="BK6" s="10" t="s">
        <v>85</v>
      </c>
      <c r="BL6" s="10" t="s">
        <v>85</v>
      </c>
      <c r="BM6" s="10" t="s">
        <v>85</v>
      </c>
      <c r="BN6" s="10" t="s">
        <v>85</v>
      </c>
      <c r="BO6" s="10" t="s">
        <v>85</v>
      </c>
      <c r="BP6" s="10" t="s">
        <v>85</v>
      </c>
      <c r="BQ6" s="11" t="s">
        <v>28</v>
      </c>
      <c r="BR6" s="47" t="s">
        <v>28</v>
      </c>
      <c r="BS6" s="11" t="s">
        <v>159</v>
      </c>
      <c r="BT6" s="11" t="s">
        <v>159</v>
      </c>
      <c r="BU6" s="11" t="s">
        <v>159</v>
      </c>
      <c r="BV6" s="11" t="s">
        <v>159</v>
      </c>
      <c r="BW6" s="10" t="s">
        <v>85</v>
      </c>
      <c r="BX6" s="10" t="s">
        <v>85</v>
      </c>
      <c r="BY6" s="10" t="s">
        <v>85</v>
      </c>
      <c r="BZ6" s="10" t="s">
        <v>85</v>
      </c>
      <c r="CA6" s="10" t="s">
        <v>85</v>
      </c>
      <c r="CB6" s="10" t="s">
        <v>85</v>
      </c>
      <c r="CC6" s="10" t="s">
        <v>85</v>
      </c>
      <c r="CD6" s="10" t="s">
        <v>85</v>
      </c>
      <c r="CE6" s="11" t="s">
        <v>159</v>
      </c>
      <c r="CF6" s="11" t="s">
        <v>159</v>
      </c>
      <c r="CG6" s="11" t="s">
        <v>159</v>
      </c>
    </row>
    <row r="7" spans="1:86" ht="42" customHeight="1" x14ac:dyDescent="0.3">
      <c r="B7" s="84" t="s">
        <v>23</v>
      </c>
      <c r="C7" s="84" t="s">
        <v>112</v>
      </c>
      <c r="D7" s="84" t="s">
        <v>151</v>
      </c>
      <c r="E7" s="84" t="s">
        <v>162</v>
      </c>
      <c r="F7" s="84" t="s">
        <v>22</v>
      </c>
      <c r="G7" s="86" t="s">
        <v>161</v>
      </c>
      <c r="H7" s="84" t="s">
        <v>21</v>
      </c>
      <c r="I7" s="84" t="s">
        <v>20</v>
      </c>
      <c r="J7" s="84" t="s">
        <v>19</v>
      </c>
      <c r="K7" s="84" t="s">
        <v>42</v>
      </c>
      <c r="L7" s="81" t="s">
        <v>145</v>
      </c>
      <c r="M7" s="82"/>
      <c r="N7" s="82"/>
      <c r="O7" s="83"/>
      <c r="P7" s="88" t="s">
        <v>105</v>
      </c>
      <c r="Q7" s="81" t="s">
        <v>99</v>
      </c>
      <c r="R7" s="82"/>
      <c r="S7" s="82"/>
      <c r="T7" s="83"/>
      <c r="U7" s="84" t="s">
        <v>106</v>
      </c>
      <c r="V7" s="84" t="s">
        <v>107</v>
      </c>
      <c r="W7" s="93" t="s">
        <v>31</v>
      </c>
      <c r="X7" s="95" t="s">
        <v>32</v>
      </c>
      <c r="Y7" s="91" t="s">
        <v>33</v>
      </c>
      <c r="Z7" s="97" t="s">
        <v>34</v>
      </c>
      <c r="AA7" s="88" t="s">
        <v>41</v>
      </c>
      <c r="AB7" s="84" t="s">
        <v>110</v>
      </c>
      <c r="AC7" s="81" t="s">
        <v>109</v>
      </c>
      <c r="AD7" s="82"/>
      <c r="AE7" s="82"/>
      <c r="AF7" s="83"/>
      <c r="AG7" s="81" t="s">
        <v>108</v>
      </c>
      <c r="AH7" s="82"/>
      <c r="AI7" s="82"/>
      <c r="AJ7" s="83"/>
      <c r="AK7" s="81" t="s">
        <v>111</v>
      </c>
      <c r="AL7" s="82"/>
      <c r="AM7" s="82"/>
      <c r="AN7" s="83"/>
      <c r="AO7" s="81" t="s">
        <v>148</v>
      </c>
      <c r="AP7" s="82"/>
      <c r="AQ7" s="82"/>
      <c r="AR7" s="83"/>
      <c r="AS7" s="81" t="s">
        <v>78</v>
      </c>
      <c r="AT7" s="82"/>
      <c r="AU7" s="82"/>
      <c r="AV7" s="82"/>
      <c r="AW7" s="82"/>
      <c r="AX7" s="82"/>
      <c r="AY7" s="82"/>
      <c r="AZ7" s="82"/>
      <c r="BA7" s="82"/>
      <c r="BB7" s="82"/>
      <c r="BC7" s="82"/>
      <c r="BD7" s="82"/>
      <c r="BE7" s="83"/>
      <c r="BF7" s="84" t="s">
        <v>98</v>
      </c>
      <c r="BG7" s="84" t="s">
        <v>59</v>
      </c>
      <c r="BH7" s="84" t="s">
        <v>189</v>
      </c>
      <c r="BI7" s="104" t="s">
        <v>58</v>
      </c>
      <c r="BJ7" s="106" t="s">
        <v>24</v>
      </c>
      <c r="BK7" s="106"/>
      <c r="BL7" s="106"/>
      <c r="BM7" s="106"/>
      <c r="BN7" s="106"/>
      <c r="BO7" s="106"/>
      <c r="BP7" s="106"/>
      <c r="BQ7" s="99" t="s">
        <v>160</v>
      </c>
      <c r="BR7" s="100"/>
      <c r="BS7" s="100"/>
      <c r="BT7" s="100"/>
      <c r="BU7" s="100"/>
      <c r="BV7" s="101"/>
      <c r="BW7" s="102" t="s">
        <v>18</v>
      </c>
      <c r="BX7" s="93" t="s">
        <v>17</v>
      </c>
      <c r="BY7" s="95" t="s">
        <v>16</v>
      </c>
      <c r="BZ7" s="95" t="s">
        <v>15</v>
      </c>
      <c r="CA7" s="91" t="s">
        <v>16</v>
      </c>
      <c r="CB7" s="91" t="s">
        <v>15</v>
      </c>
      <c r="CC7" s="97" t="s">
        <v>16</v>
      </c>
      <c r="CD7" s="97" t="s">
        <v>15</v>
      </c>
      <c r="CE7" s="79" t="s">
        <v>222</v>
      </c>
      <c r="CF7" s="80"/>
      <c r="CG7" s="80"/>
    </row>
    <row r="8" spans="1:86" ht="43.35" customHeight="1" x14ac:dyDescent="0.3">
      <c r="B8" s="85"/>
      <c r="C8" s="85"/>
      <c r="D8" s="85"/>
      <c r="E8" s="85"/>
      <c r="F8" s="85"/>
      <c r="G8" s="87"/>
      <c r="H8" s="85"/>
      <c r="I8" s="85"/>
      <c r="J8" s="85"/>
      <c r="K8" s="85"/>
      <c r="L8" s="50" t="s">
        <v>43</v>
      </c>
      <c r="M8" s="50" t="s">
        <v>44</v>
      </c>
      <c r="N8" s="50" t="s">
        <v>45</v>
      </c>
      <c r="O8" s="50" t="s">
        <v>29</v>
      </c>
      <c r="P8" s="89"/>
      <c r="Q8" s="52" t="s">
        <v>13</v>
      </c>
      <c r="R8" s="15" t="s">
        <v>12</v>
      </c>
      <c r="S8" s="16" t="s">
        <v>11</v>
      </c>
      <c r="T8" s="21" t="s">
        <v>96</v>
      </c>
      <c r="U8" s="90"/>
      <c r="V8" s="90"/>
      <c r="W8" s="94"/>
      <c r="X8" s="96"/>
      <c r="Y8" s="92"/>
      <c r="Z8" s="98"/>
      <c r="AA8" s="88"/>
      <c r="AB8" s="85"/>
      <c r="AC8" s="52" t="s">
        <v>13</v>
      </c>
      <c r="AD8" s="15" t="s">
        <v>12</v>
      </c>
      <c r="AE8" s="16" t="s">
        <v>11</v>
      </c>
      <c r="AF8" s="21" t="s">
        <v>96</v>
      </c>
      <c r="AG8" s="52" t="s">
        <v>13</v>
      </c>
      <c r="AH8" s="15" t="s">
        <v>12</v>
      </c>
      <c r="AI8" s="16" t="s">
        <v>11</v>
      </c>
      <c r="AJ8" s="21" t="s">
        <v>96</v>
      </c>
      <c r="AK8" s="52" t="s">
        <v>13</v>
      </c>
      <c r="AL8" s="15" t="s">
        <v>12</v>
      </c>
      <c r="AM8" s="16" t="s">
        <v>11</v>
      </c>
      <c r="AN8" s="17" t="s">
        <v>10</v>
      </c>
      <c r="AO8" s="52" t="s">
        <v>13</v>
      </c>
      <c r="AP8" s="15" t="s">
        <v>12</v>
      </c>
      <c r="AQ8" s="16" t="s">
        <v>11</v>
      </c>
      <c r="AR8" s="21" t="s">
        <v>96</v>
      </c>
      <c r="AS8" s="50" t="s">
        <v>60</v>
      </c>
      <c r="AT8" s="51" t="s">
        <v>66</v>
      </c>
      <c r="AU8" s="51" t="s">
        <v>67</v>
      </c>
      <c r="AV8" s="51" t="s">
        <v>68</v>
      </c>
      <c r="AW8" s="23" t="s">
        <v>69</v>
      </c>
      <c r="AX8" s="23" t="s">
        <v>70</v>
      </c>
      <c r="AY8" s="23" t="s">
        <v>71</v>
      </c>
      <c r="AZ8" s="22" t="s">
        <v>72</v>
      </c>
      <c r="BA8" s="22" t="s">
        <v>73</v>
      </c>
      <c r="BB8" s="22" t="s">
        <v>74</v>
      </c>
      <c r="BC8" s="21" t="s">
        <v>75</v>
      </c>
      <c r="BD8" s="21" t="s">
        <v>76</v>
      </c>
      <c r="BE8" s="21" t="s">
        <v>77</v>
      </c>
      <c r="BF8" s="85"/>
      <c r="BG8" s="85"/>
      <c r="BH8" s="85"/>
      <c r="BI8" s="105"/>
      <c r="BJ8" s="53" t="s">
        <v>52</v>
      </c>
      <c r="BK8" s="40" t="s">
        <v>97</v>
      </c>
      <c r="BL8" s="53" t="s">
        <v>54</v>
      </c>
      <c r="BM8" s="53" t="s">
        <v>57</v>
      </c>
      <c r="BN8" s="53" t="s">
        <v>53</v>
      </c>
      <c r="BO8" s="53" t="s">
        <v>56</v>
      </c>
      <c r="BP8" s="53" t="s">
        <v>55</v>
      </c>
      <c r="BQ8" s="29" t="s">
        <v>14</v>
      </c>
      <c r="BR8" s="31" t="s">
        <v>92</v>
      </c>
      <c r="BS8" s="54" t="s">
        <v>156</v>
      </c>
      <c r="BT8" s="23" t="s">
        <v>155</v>
      </c>
      <c r="BU8" s="22" t="s">
        <v>154</v>
      </c>
      <c r="BV8" s="26" t="s">
        <v>153</v>
      </c>
      <c r="BW8" s="103"/>
      <c r="BX8" s="94"/>
      <c r="BY8" s="96"/>
      <c r="BZ8" s="96"/>
      <c r="CA8" s="92"/>
      <c r="CB8" s="92"/>
      <c r="CC8" s="98"/>
      <c r="CD8" s="98"/>
      <c r="CE8" s="29" t="s">
        <v>235</v>
      </c>
      <c r="CF8" s="31" t="s">
        <v>233</v>
      </c>
      <c r="CG8" s="75" t="s">
        <v>221</v>
      </c>
      <c r="CH8" s="28" t="s">
        <v>236</v>
      </c>
    </row>
    <row r="9" spans="1:86" ht="15.75" customHeight="1" x14ac:dyDescent="0.3">
      <c r="A9" s="11" t="s">
        <v>198</v>
      </c>
      <c r="B9" s="62" t="s">
        <v>209</v>
      </c>
      <c r="C9" s="62" t="s">
        <v>118</v>
      </c>
      <c r="D9" s="62" t="str">
        <f>IF(
    C9 = "",
    "",
    IF(
        C9 = "API管理",
        "-",
        VLOOKUP(
            C9,
            'Container Service'!$B$2:$F$100,
            4,
            FALSE
        )
    )
)</f>
        <v>-</v>
      </c>
      <c r="E9" s="62"/>
      <c r="F9" s="63" t="s">
        <v>210</v>
      </c>
      <c r="G9" s="63" t="s">
        <v>210</v>
      </c>
      <c r="H9" s="62" t="s">
        <v>210</v>
      </c>
      <c r="I9" s="62" t="s">
        <v>211</v>
      </c>
      <c r="J9" s="62" t="s">
        <v>187</v>
      </c>
      <c r="K9" s="62" t="str">
        <f t="shared" ref="K9" si="0">IF(C9="",
    "",
    LOWER(
        SUBSTITUTE(
            SUBSTITUTE(
                G9 &amp; "-" &amp; BJ9 &amp; BK9 &amp; BL9 &amp; BM9 &amp; BN9 &amp; BO9 &amp; BP9 &amp; "-ingress",
                " ",
                ""
            ),
            "_",
            "-"
        )
    )
)</f>
        <v>getuserpermissionforsupnostatechk-123-ingress</v>
      </c>
      <c r="L9" s="64" t="s">
        <v>27</v>
      </c>
      <c r="M9" s="64" t="s">
        <v>26</v>
      </c>
      <c r="N9" s="64" t="s">
        <v>25</v>
      </c>
      <c r="O9" s="62" t="str">
        <f t="shared" ref="O9" si="1">IF(
    C9 = "",
    "",
    SUBSTITUTE(
        LOWER(
            IF(
                M9 = "",
                L9 &amp; "-acl",
                IF(
                    N9 = "",
                    L9 &amp; "-" &amp; M9 &amp; "-acl",
                    L9 &amp; "-" &amp; M9 &amp; "-" &amp; N9 &amp; "-acl"
                )
            )
        ),
        "_",
        "-"
    )
)</f>
        <v>vmc-step2-bom-ev6-vmc-step2-bom-vmc-step2-cad-acl</v>
      </c>
      <c r="P9" s="65" t="str">
        <f t="shared" ref="P9" si="2">IF(C9="",
    "",
    LOWER(
        SUBSTITUTE(
            SUBSTITUTE(
                G9 &amp; "-rewrite-path",
                " ",
                ""
            ),
            "_",
            "-"
        )
    )
)</f>
        <v>getuserpermissionforsupnostatechk-rewrite-path</v>
      </c>
      <c r="Q9" s="66" t="str">
        <f t="shared" ref="Q9" si="3">IF(
    C9 = "",
    "",
    IF(
        C9 = "API管理",
        IF(
            AO9 &lt;&gt; "",
            "/" &amp; AO9 &amp; "/" &amp; I9,
            "/" &amp; I9
        ),
        IF(
            D9 &lt;&gt; "-",
            "/" &amp; D9 &amp; "/" &amp; I9,
            "/" &amp; I9
        )
    )
)</f>
        <v>/userPermissionForSupNoStateChk/get</v>
      </c>
      <c r="R9" s="66" t="str">
        <f t="shared" ref="R9" si="4">IF(
    C9 = "",
    "",
    IF(
        C9 = "API管理",
        IF(
            AP9 &lt;&gt; "",
            "/" &amp; AP9 &amp; "/" &amp; I9,
            "/" &amp; I9
        ),
        IF(
            D9 &lt;&gt; "-",
            "/" &amp; D9 &amp; "/" &amp; I9,
            "/" &amp; I9
        )
    )
)</f>
        <v>/userPermissionForSupNoStateChk/get</v>
      </c>
      <c r="S9" s="66" t="str">
        <f t="shared" ref="S9" si="5">IF(
    C9 = "",
    "",
    IF(
        C9 = "API管理",
        IF(
            AQ9 &lt;&gt; "",
            "/" &amp; AQ9 &amp; "/" &amp; I9,
            "/" &amp; I9
        ),
        IF(
            D9 &lt;&gt; "-",
            "/" &amp; D9 &amp; "/" &amp; I9,
            "/" &amp; I9
        )
    )
)</f>
        <v>/userPermissionForSupNoStateChk/get</v>
      </c>
      <c r="T9" s="66" t="str">
        <f t="shared" ref="T9" si="6">IF(
    C9 = "",
    "",
    IF(
        C9 = "API管理",
        IF(
            AR9 &lt;&gt; "",
            "/" &amp; AR9 &amp; "/" &amp; I9,
            "/" &amp; I9
        ),
        IF(
            D9 &lt;&gt; "-",
            "/" &amp; D9 &amp; "/" &amp; I9,
            "/" &amp; I9
        )
    )
)</f>
        <v>/userPermissionForSupNoStateChk/get</v>
      </c>
      <c r="U9" s="66" t="str">
        <f>IF(
    C9 = "",
    "",
    IF(
        C9 = "API管理",
        AB9,
        VLOOKUP(
            C9,
            'Container Service'!$B$3:$F$100,
            5,
            FALSE
        )
    )
)</f>
        <v>vmcbom-services-public-k6-v6-apiv1</v>
      </c>
      <c r="V9" s="66">
        <f>IF(
    C9 = "",
    "",
    IF(
        C9 = "API管理",
        IF(
            AND(
                AG9 = AH9,
                AH9 = AI9,
                AI9 = AJ9
            ),
            AG9,
            "External Service Portの列に依存"
        ),
        VLOOKUP(
            C9,
            'Container Service'!$B$3:$G$100,
            6,
            FALSE
        )
    )
)</f>
        <v>80</v>
      </c>
      <c r="W9" s="66" t="str">
        <f>IF(OR(ISBLANK(H9),H9="-"),"-",IF(H9&lt;&gt;I9,Config!$C$6&amp;Config!$C$10&amp;H9,Config!$C$6&amp;Config!$C$10&amp;H9))</f>
        <v>/vmcbom/v1/GetUserPermissionForSupNoStateChk</v>
      </c>
      <c r="X9" s="66" t="str">
        <f>IF(OR(ISBLANK(H9),H9="-"),"-",IF(H9&lt;&gt;I9,Config!$C$7&amp;Config!$C$10&amp;H9,Config!$C$7&amp;Config!$C$10&amp;H9))</f>
        <v>/blue/vmcbom/v1/GetUserPermissionForSupNoStateChk</v>
      </c>
      <c r="Y9" s="66" t="str">
        <f>IF(OR(ISBLANK(H9),H9="-"),"-",IF(H9&lt;&gt;I9,Config!$C$8&amp;Config!$C$10&amp;H9,Config!$C$8&amp;Config!$C$10&amp;H9))</f>
        <v>/yellow/vmcbom/v1/GetUserPermissionForSupNoStateChk</v>
      </c>
      <c r="Z9" s="66" t="str">
        <f>IF(OR(ISBLANK(H9),H9="-"),"-",IF(H9&lt;&gt;I9,Config!$C$9&amp;Config!$C$10&amp;H9,Config!$C$9&amp;Config!$C$10&amp;H9))</f>
        <v>/vmcbom/v1/GetUserPermissionForSupNoStateChk</v>
      </c>
      <c r="AA9" s="62"/>
      <c r="AB9" s="62" t="str">
        <f t="shared" ref="AB9" si="7">SUBSTITUTE(LOWER(IF(AA9="","","path-through-"&amp;AA9&amp;"-service")),"_","-")</f>
        <v/>
      </c>
      <c r="AC9" s="67"/>
      <c r="AD9" s="67"/>
      <c r="AE9" s="67"/>
      <c r="AF9" s="67"/>
      <c r="AG9" s="66"/>
      <c r="AH9" s="66"/>
      <c r="AI9" s="66"/>
      <c r="AJ9" s="66"/>
      <c r="AK9" s="62"/>
      <c r="AL9" s="62"/>
      <c r="AM9" s="62"/>
      <c r="AN9" s="62"/>
      <c r="AO9" s="62"/>
      <c r="AP9" s="62"/>
      <c r="AQ9" s="62"/>
      <c r="AR9" s="62"/>
      <c r="AS9" s="62" t="s">
        <v>0</v>
      </c>
      <c r="AT9" s="66" t="s">
        <v>0</v>
      </c>
      <c r="AU9" s="66" t="s">
        <v>0</v>
      </c>
      <c r="AV9" s="66" t="s">
        <v>0</v>
      </c>
      <c r="AW9" s="66" t="s">
        <v>0</v>
      </c>
      <c r="AX9" s="66" t="s">
        <v>0</v>
      </c>
      <c r="AY9" s="66" t="s">
        <v>0</v>
      </c>
      <c r="AZ9" s="66" t="s">
        <v>0</v>
      </c>
      <c r="BA9" s="66" t="s">
        <v>0</v>
      </c>
      <c r="BB9" s="66" t="s">
        <v>0</v>
      </c>
      <c r="BC9" s="66" t="s">
        <v>0</v>
      </c>
      <c r="BD9" s="66" t="s">
        <v>0</v>
      </c>
      <c r="BE9" s="66" t="s">
        <v>0</v>
      </c>
      <c r="BF9" s="62" t="str">
        <f t="shared" ref="BF9:BF16" si="8">IF(
    C9 = "",
    "",
    LOWER(
        SUBSTITUTE(
            SUBSTITUTE(
                G9 &amp; "-rewrite-path.yaml",
                " ",
                ""
            ),
            "_",
            "-"
        )
    )
)</f>
        <v>getuserpermissionforsupnostatechk-rewrite-path.yaml</v>
      </c>
      <c r="BG9" s="62" t="str">
        <f t="shared" ref="BG9:BG16" si="9">IF(
    C9 = "",
    "",
    LOWER(
        SUBSTITUTE(
            SUBSTITUTE(
                G9 &amp; "-" &amp; BJ9 &amp; BK9 &amp; BL9 &amp; BM9 &amp; BN9 &amp; BO9 &amp; BP9 &amp; "-ingress.yaml",
                " ",
                ""
            ),
            "_",
            "-"
        )
    )
)</f>
        <v>getuserpermissionforsupnostatechk-123-ingress.yaml</v>
      </c>
      <c r="BH9" s="62" t="str">
        <f t="shared" ref="BH9" si="10">SUBSTITUTE(LOWER(IF(AA9="","","path-through-"&amp;AA9&amp;"-service.yaml")),"_","-")</f>
        <v/>
      </c>
      <c r="BI9" s="66" t="str">
        <f t="shared" ref="BI9" si="11">SUBSTITUTE(LOWER(IF(AS9="-","",AS9&amp;".yaml")),"_","-")</f>
        <v/>
      </c>
      <c r="BJ9" s="68" t="str">
        <f>IF(C9="","",IF(COUNTIF(O$9:O9,O9)=1,"1",""))</f>
        <v>1</v>
      </c>
      <c r="BK9" s="69" t="str">
        <f>IF(
    C9 = "",
    "",
    IF(
        COUNTIF(
            P$9:P9,
            P9
        ) &gt;= 1,
        "2",
        ""
    )
)</f>
        <v>2</v>
      </c>
      <c r="BL9" s="68" t="str">
        <f t="shared" ref="BL9:BL16" si="12">IF(
    C9 = "",
    "",
    IF(
        C9 &lt;&gt; "API管理",
        IF(
            AS9 = "-",
            "3",
            ""
        ),
        ""
    )
)</f>
        <v>3</v>
      </c>
      <c r="BM9" s="68" t="str">
        <f>IF(
    C9 = "",
    "",
    IF(
        C9 &lt;&gt; "API管理",
        IF(
            AS9 = "-",
            "",
            IF(
                COUNTIF(
                    BI$9:BI9,
                    BI9
                ) = 1,
                "4-1",
                "4-2"
            )
        ),
        ""
    )
)</f>
        <v/>
      </c>
      <c r="BN9" s="68" t="str">
        <f>IF(
    C9 = "",
    "",
    IF(
        C9 &lt;&gt; "API管理",
        "",
        IF(
            AS9 = "-",
            IF(
                COUNTIF(
                    BH$9:BH9,
                    BH9
                ) = 1,
                "5-1",
                "5-2"
            ),
            ""
        )
    )
)</f>
        <v/>
      </c>
      <c r="BO9" s="68" t="str">
        <f>IF(
    C9 = "",
    "",
    IF(
        C9 &lt;&gt; "API管理",
        "",
        IF(
            AS9 = "-",
            "",
                IF(
                    COUNTIF(
                        BH$9:BH9,
                        BH9
                    ) = 1,
                    IF(
                        COUNTIF(
                            BI$9:BI9,
                            BI9
                        ) = 1,
                        "6-1",
                        "6-3"
                    ),
                    IF(
                        COUNTIF(
                            BI$9:BI9,
                            BI9
                        ) = 1,
                        "6-2",
                        "6-4"
                    )
            )
        )
    )
)</f>
        <v/>
      </c>
      <c r="BP9" s="68"/>
      <c r="BQ9" s="70"/>
      <c r="BR9" s="71" t="s">
        <v>157</v>
      </c>
      <c r="BS9" s="72" t="s">
        <v>212</v>
      </c>
      <c r="BT9" s="72" t="s">
        <v>158</v>
      </c>
      <c r="BU9" s="72" t="s">
        <v>158</v>
      </c>
      <c r="BV9" s="73" t="s">
        <v>158</v>
      </c>
      <c r="BW9" s="74" t="str">
        <f>IF(OR(ISBLANK(H9),H9="-"),"URLが入力されていません","https://"&amp;Config!$C$2&amp;Config!$C$6&amp;Config!$C$10&amp;H9)</f>
        <v>https://vmc-osb.hm.jp.honda.com/vmcbom/v1/GetUserPermissionForSupNoStateChk</v>
      </c>
      <c r="BX9" s="74" t="str">
        <f t="shared" ref="BX9" si="13">IF(
    OR(
        I9 = "",
        I9 = "-"
    ),
    "URLが入力されていません",
    IF(
        C9 = "API管理",
        IF(
            AO9 = "",
AC9 &amp; "://" &amp; AK9 &amp; ":" &amp; AG9 &amp; "/" &amp; I9,
AC9 &amp; "://" &amp; AK9 &amp; ":" &amp; AG9 &amp; "/" &amp; AO9 &amp; "/" &amp; I9
        ),
        IF(
            D9 = "-",
            "http://{worker-node}:{NodePort}/" &amp; I9,
            "http://{worker-node}:{NodePort}/" &amp; D9 &amp; "/" &amp; I9
        )
    )
)</f>
        <v>http://{worker-node}:{NodePort}/userPermissionForSupNoStateChk/get</v>
      </c>
      <c r="BY9" s="74" t="str">
        <f>IF(OR(ISBLANK(H9),H9="-"),"URLが入力されていません","https://"&amp;Config!$C$3&amp;Config!$C$7&amp;Config!$C$10&amp;H9)</f>
        <v>https://vmc-osb-qa.hm.jp.honda.com/blue/vmcbom/v1/GetUserPermissionForSupNoStateChk</v>
      </c>
      <c r="BZ9" s="74" t="str">
        <f t="shared" ref="BZ9" si="14">IF(
    OR(
        I9 = "",
        I9 = "-"
    ),
    "URLが入力されていません",
    IF(
        C9 = "API管理",
        IF(
            AO9 = "",
AD9 &amp; "://" &amp; AL9 &amp; ":" &amp; AH9 &amp; "/" &amp; I9,
AD9 &amp; "://" &amp; AL9 &amp; ":" &amp; AH9 &amp; "/" &amp; AP9 &amp; "/" &amp; I9
        ),
        IF(
            D9 = "-",
            "http://{worker-node}:{NodePort}/" &amp; I9,
            "http://{worker-node}:{NodePort}/" &amp; D9 &amp; "/" &amp; I9
        )
    )
)</f>
        <v>http://{worker-node}:{NodePort}/userPermissionForSupNoStateChk/get</v>
      </c>
      <c r="CA9" s="74" t="str">
        <f>IF(OR(ISBLANK(H9),H9="-"),"URLが入力されていません","https://"&amp;Config!$C$4&amp;Config!$C$8&amp;Config!$C$10&amp;H9)</f>
        <v>https://vmc-osb-itb.hm.jp.honda.com/yellow/vmcbom/v1/GetUserPermissionForSupNoStateChk</v>
      </c>
      <c r="CB9" s="74" t="str">
        <f t="shared" ref="CB9" si="15">IF(
    OR(
        I9 = "",
        I9 = "-"
    ),
    "URLが入力されていません",
    IF(
        C9 = "API管理",
        IF(
            AO9 = "",
AE9 &amp; "://" &amp; AM9 &amp; ":" &amp; AI9 &amp; "/" &amp; I9,
AE9 &amp; "://" &amp; AM9 &amp; ":" &amp; AI9 &amp; "/" &amp; AQ9 &amp; "/" &amp; I9
        ),
        IF(
            D9 = "-",
            "http://{worker-node}:{NodePort}/" &amp; I9,
            "http://{worker-node}:{NodePort}/" &amp; D9 &amp; "/" &amp; I9
        )
    )
)</f>
        <v>http://{worker-node}:{NodePort}/userPermissionForSupNoStateChk/get</v>
      </c>
      <c r="CC9" s="74" t="str">
        <f>IF(OR(ISBLANK(H9),H9="-"),"URLが入力されていません","https://"&amp;Config!$C$5&amp;Config!$C$9&amp;Config!$C$10&amp;H9)</f>
        <v>https://vpr-sv-aws101.aws.t.rd.honda.com/vmcbom/v1/GetUserPermissionForSupNoStateChk</v>
      </c>
      <c r="CD9" s="74" t="str">
        <f t="shared" ref="CD9" si="16">IF(
    OR(
        I9 = "",
        I9 = "-"
    ),
    "URLが入力されていません",
    IF(
        C9 = "API管理",
        IF(
            AO9 = "",
AF9 &amp; "://" &amp; AN9 &amp; ":" &amp; AJ9 &amp; "/" &amp; I9,
AF9 &amp; "://" &amp; AN9 &amp; ":" &amp; AJ9 &amp; "/" &amp; AR9 &amp; "/" &amp; I9
        ),
        IF(
            D9 = "-",
            "http://{worker-node}:{NodePort}/" &amp; I9,
            "http://{worker-node}:{NodePort}/" &amp; D9 &amp; "/" &amp; I9
        )
    )
)</f>
        <v>http://{worker-node}:{NodePort}/userPermissionForSupNoStateChk/get</v>
      </c>
      <c r="CE9" s="70"/>
      <c r="CF9" s="71"/>
      <c r="CG9" s="72" t="s">
        <v>158</v>
      </c>
    </row>
    <row r="10" spans="1:86" ht="15.75" customHeight="1" x14ac:dyDescent="0.3">
      <c r="B10" s="62" t="s">
        <v>209</v>
      </c>
      <c r="C10" s="62" t="s">
        <v>118</v>
      </c>
      <c r="D10" s="62" t="str">
        <f>IF(
    C10 = "",
    "",
    IF(
        C10 = "API管理",
        "-",
        VLOOKUP(
            C10,
            'Container Service'!$B$2:$F$100,
            4,
            FALSE
        )
    )
)</f>
        <v>-</v>
      </c>
      <c r="E10" s="62"/>
      <c r="F10" s="63" t="s">
        <v>217</v>
      </c>
      <c r="G10" s="63" t="s">
        <v>217</v>
      </c>
      <c r="H10" s="63" t="s">
        <v>217</v>
      </c>
      <c r="I10" s="62" t="s">
        <v>219</v>
      </c>
      <c r="J10" s="1" t="s">
        <v>186</v>
      </c>
      <c r="K10" s="62" t="str">
        <f t="shared" ref="K10:K12" si="17">IF(C10="",
    "",
    LOWER(
        SUBSTITUTE(
            SUBSTITUTE(
                G10 &amp; "-" &amp; BJ10 &amp; BK10 &amp; BL10 &amp; BM10 &amp; BN10 &amp; BO10 &amp; BP10 &amp; "-ingress",
                " ",
                ""
            ),
            "_",
            "-"
        )
    )
)</f>
        <v>receivenotifydpmupdate-123-ingress</v>
      </c>
      <c r="L10" s="64" t="s">
        <v>27</v>
      </c>
      <c r="M10" s="64" t="s">
        <v>26</v>
      </c>
      <c r="N10" s="64"/>
      <c r="O10" s="62" t="str">
        <f t="shared" ref="O10:O12" si="18">IF(
    C10 = "",
    "",
    SUBSTITUTE(
        LOWER(
            IF(
                M10 = "",
                L10 &amp; "-acl",
                IF(
                    N10 = "",
                    L10 &amp; "-" &amp; M10 &amp; "-acl",
                    L10 &amp; "-" &amp; M10 &amp; "-" &amp; N10 &amp; "-acl"
                )
            )
        ),
        "_",
        "-"
    )
)</f>
        <v>vmc-step2-bom-ev6-vmc-step2-bom-acl</v>
      </c>
      <c r="P10" s="65" t="str">
        <f t="shared" ref="P10:P12" si="19">IF(C10="",
    "",
    LOWER(
        SUBSTITUTE(
            SUBSTITUTE(
                G10 &amp; "-rewrite-path",
                " ",
                ""
            ),
            "_",
            "-"
        )
    )
)</f>
        <v>receivenotifydpmupdate-rewrite-path</v>
      </c>
      <c r="Q10" s="66" t="str">
        <f t="shared" ref="Q10:Q12" si="20">IF(
    C10 = "",
    "",
    IF(
        C10 = "API管理",
        IF(
            AO10 &lt;&gt; "",
            "/" &amp; AO10 &amp; "/" &amp; I10,
            "/" &amp; I10
        ),
        IF(
            D10 &lt;&gt; "-",
            "/" &amp; D10 &amp; "/" &amp; I10,
            "/" &amp; I10
        )
    )
)</f>
        <v>/notifyDPMUpdate/receive</v>
      </c>
      <c r="R10" s="66" t="str">
        <f t="shared" ref="R10:R12" si="21">IF(
    C10 = "",
    "",
    IF(
        C10 = "API管理",
        IF(
            AP10 &lt;&gt; "",
            "/" &amp; AP10 &amp; "/" &amp; I10,
            "/" &amp; I10
        ),
        IF(
            D10 &lt;&gt; "-",
            "/" &amp; D10 &amp; "/" &amp; I10,
            "/" &amp; I10
        )
    )
)</f>
        <v>/notifyDPMUpdate/receive</v>
      </c>
      <c r="S10" s="66" t="str">
        <f t="shared" ref="S10:S12" si="22">IF(
    C10 = "",
    "",
    IF(
        C10 = "API管理",
        IF(
            AQ10 &lt;&gt; "",
            "/" &amp; AQ10 &amp; "/" &amp; I10,
            "/" &amp; I10
        ),
        IF(
            D10 &lt;&gt; "-",
            "/" &amp; D10 &amp; "/" &amp; I10,
            "/" &amp; I10
        )
    )
)</f>
        <v>/notifyDPMUpdate/receive</v>
      </c>
      <c r="T10" s="66" t="str">
        <f t="shared" ref="T10:T12" si="23">IF(
    C10 = "",
    "",
    IF(
        C10 = "API管理",
        IF(
            AR10 &lt;&gt; "",
            "/" &amp; AR10 &amp; "/" &amp; I10,
            "/" &amp; I10
        ),
        IF(
            D10 &lt;&gt; "-",
            "/" &amp; D10 &amp; "/" &amp; I10,
            "/" &amp; I10
        )
    )
)</f>
        <v>/notifyDPMUpdate/receive</v>
      </c>
      <c r="U10" s="66" t="str">
        <f>IF(
    C10 = "",
    "",
    IF(
        C10 = "API管理",
        AB10,
        VLOOKUP(
            C10,
            'Container Service'!$B$3:$F$100,
            5,
            FALSE
        )
    )
)</f>
        <v>vmcbom-services-public-k6-v6-apiv1</v>
      </c>
      <c r="V10" s="66">
        <f>IF(
    C10 = "",
    "",
    IF(
        C10 = "API管理",
        IF(
            AND(
                AG10 = AH10,
                AH10 = AI10,
                AI10 = AJ10
            ),
            AG10,
            "External Service Portの列に依存"
        ),
        VLOOKUP(
            C10,
            'Container Service'!$B$3:$G$100,
            6,
            FALSE
        )
    )
)</f>
        <v>80</v>
      </c>
      <c r="W10" s="66" t="str">
        <f>IF(OR(ISBLANK(H10),H10="-"),"-",IF(H10&lt;&gt;I10,Config!$C$6&amp;Config!$C$10&amp;H10,Config!$C$6&amp;Config!$C$10&amp;H10))</f>
        <v>/vmcbom/v1/ReceiveNotifyDPMUpdate</v>
      </c>
      <c r="X10" s="66" t="str">
        <f>IF(OR(ISBLANK(H10),H10="-"),"-",IF(H10&lt;&gt;I10,Config!$C$7&amp;Config!$C$10&amp;H10,Config!$C$7&amp;Config!$C$10&amp;H10))</f>
        <v>/blue/vmcbom/v1/ReceiveNotifyDPMUpdate</v>
      </c>
      <c r="Y10" s="66" t="str">
        <f>IF(OR(ISBLANK(H10),H10="-"),"-",IF(H10&lt;&gt;I10,Config!$C$8&amp;Config!$C$10&amp;H10,Config!$C$8&amp;Config!$C$10&amp;H10))</f>
        <v>/yellow/vmcbom/v1/ReceiveNotifyDPMUpdate</v>
      </c>
      <c r="Z10" s="66" t="str">
        <f>IF(OR(ISBLANK(H10),H10="-"),"-",IF(H10&lt;&gt;I10,Config!$C$9&amp;Config!$C$10&amp;H10,Config!$C$9&amp;Config!$C$10&amp;H10))</f>
        <v>/vmcbom/v1/ReceiveNotifyDPMUpdate</v>
      </c>
      <c r="AA10" s="62"/>
      <c r="AB10" s="62" t="str">
        <f t="shared" ref="AB10:AB12" si="24">SUBSTITUTE(LOWER(IF(AA10="","","path-through-"&amp;AA10&amp;"-service")),"_","-")</f>
        <v/>
      </c>
      <c r="AC10" s="67"/>
      <c r="AD10" s="67"/>
      <c r="AE10" s="67"/>
      <c r="AF10" s="67"/>
      <c r="AG10" s="66"/>
      <c r="AH10" s="66"/>
      <c r="AI10" s="66"/>
      <c r="AJ10" s="66"/>
      <c r="AK10" s="62"/>
      <c r="AL10" s="62"/>
      <c r="AM10" s="62"/>
      <c r="AN10" s="62"/>
      <c r="AO10" s="62"/>
      <c r="AP10" s="62"/>
      <c r="AQ10" s="62"/>
      <c r="AR10" s="62"/>
      <c r="AS10" s="62" t="s">
        <v>0</v>
      </c>
      <c r="AT10" s="66" t="s">
        <v>0</v>
      </c>
      <c r="AU10" s="66" t="s">
        <v>0</v>
      </c>
      <c r="AV10" s="66" t="s">
        <v>0</v>
      </c>
      <c r="AW10" s="66" t="s">
        <v>0</v>
      </c>
      <c r="AX10" s="66" t="s">
        <v>0</v>
      </c>
      <c r="AY10" s="66" t="s">
        <v>0</v>
      </c>
      <c r="AZ10" s="66" t="s">
        <v>0</v>
      </c>
      <c r="BA10" s="66" t="s">
        <v>0</v>
      </c>
      <c r="BB10" s="66" t="s">
        <v>0</v>
      </c>
      <c r="BC10" s="66" t="s">
        <v>0</v>
      </c>
      <c r="BD10" s="66" t="s">
        <v>0</v>
      </c>
      <c r="BE10" s="66" t="s">
        <v>0</v>
      </c>
      <c r="BF10" s="62" t="str">
        <f t="shared" ref="BF10:BF12" si="25">IF(
    C10 = "",
    "",
    LOWER(
        SUBSTITUTE(
            SUBSTITUTE(
                G10 &amp; "-rewrite-path.yaml",
                " ",
                ""
            ),
            "_",
            "-"
        )
    )
)</f>
        <v>receivenotifydpmupdate-rewrite-path.yaml</v>
      </c>
      <c r="BG10" s="62" t="str">
        <f t="shared" ref="BG10:BG12" si="26">IF(
    C10 = "",
    "",
    LOWER(
        SUBSTITUTE(
            SUBSTITUTE(
                G10 &amp; "-" &amp; BJ10 &amp; BK10 &amp; BL10 &amp; BM10 &amp; BN10 &amp; BO10 &amp; BP10 &amp; "-ingress.yaml",
                " ",
                ""
            ),
            "_",
            "-"
        )
    )
)</f>
        <v>receivenotifydpmupdate-123-ingress.yaml</v>
      </c>
      <c r="BH10" s="62" t="str">
        <f t="shared" ref="BH10:BH12" si="27">SUBSTITUTE(LOWER(IF(AA10="","","path-through-"&amp;AA10&amp;"-service.yaml")),"_","-")</f>
        <v/>
      </c>
      <c r="BI10" s="66" t="str">
        <f t="shared" ref="BI10:BI12" si="28">SUBSTITUTE(LOWER(IF(AS10="-","",AS10&amp;".yaml")),"_","-")</f>
        <v/>
      </c>
      <c r="BJ10" s="68" t="str">
        <f>IF(C10="","",IF(COUNTIF(O$9:O10,O10)=1,"1",""))</f>
        <v>1</v>
      </c>
      <c r="BK10" s="69" t="str">
        <f>IF(
    C10 = "",
    "",
    IF(
        COUNTIF(
            P$9:P10,
            P10
        ) &gt;= 1,
        "2",
        ""
    )
)</f>
        <v>2</v>
      </c>
      <c r="BL10" s="68" t="str">
        <f t="shared" ref="BL10:BL12" si="29">IF(
    C10 = "",
    "",
    IF(
        C10 &lt;&gt; "API管理",
        IF(
            AS10 = "-",
            "3",
            ""
        ),
        ""
    )
)</f>
        <v>3</v>
      </c>
      <c r="BM10" s="68" t="str">
        <f>IF(
    C10 = "",
    "",
    IF(
        C10 &lt;&gt; "API管理",
        IF(
            AS10 = "-",
            "",
            IF(
                COUNTIF(
                    BI$9:BI10,
                    BI10
                ) = 1,
                "4-1",
                "4-2"
            )
        ),
        ""
    )
)</f>
        <v/>
      </c>
      <c r="BN10" s="68" t="str">
        <f>IF(
    C10 = "",
    "",
    IF(
        C10 &lt;&gt; "API管理",
        "",
        IF(
            AS10 = "-",
            IF(
                COUNTIF(
                    BH$9:BH10,
                    BH10
                ) = 1,
                "5-1",
                "5-2"
            ),
            ""
        )
    )
)</f>
        <v/>
      </c>
      <c r="BO10" s="68" t="str">
        <f>IF(
    C10 = "",
    "",
    IF(
        C10 &lt;&gt; "API管理",
        "",
        IF(
            AS10 = "-",
            "",
                IF(
                    COUNTIF(
                        BH$9:BH10,
                        BH10
                    ) = 1,
                    IF(
                        COUNTIF(
                            BI$9:BI10,
                            BI10
                        ) = 1,
                        "6-1",
                        "6-3"
                    ),
                    IF(
                        COUNTIF(
                            BI$9:BI10,
                            BI10
                        ) = 1,
                        "6-2",
                        "6-4"
                    )
            )
        )
    )
)</f>
        <v/>
      </c>
      <c r="BP10" s="68"/>
      <c r="BQ10" s="70"/>
      <c r="BR10" s="71" t="s">
        <v>157</v>
      </c>
      <c r="BS10" s="72" t="s">
        <v>212</v>
      </c>
      <c r="BT10" s="72" t="s">
        <v>158</v>
      </c>
      <c r="BU10" s="72" t="s">
        <v>158</v>
      </c>
      <c r="BV10" s="73" t="s">
        <v>158</v>
      </c>
      <c r="BW10" s="74" t="str">
        <f>IF(OR(ISBLANK(H10),H10="-"),"URLが入力されていません","https://"&amp;Config!$C$2&amp;Config!$C$6&amp;Config!$C$10&amp;H10)</f>
        <v>https://vmc-osb.hm.jp.honda.com/vmcbom/v1/ReceiveNotifyDPMUpdate</v>
      </c>
      <c r="BX10" s="74" t="str">
        <f t="shared" ref="BX10:BX12" si="30">IF(
    OR(
        I10 = "",
        I10 = "-"
    ),
    "URLが入力されていません",
    IF(
        C10 = "API管理",
        IF(
            AO10 = "",
AC10 &amp; "://" &amp; AK10 &amp; ":" &amp; AG10 &amp; "/" &amp; I10,
AC10 &amp; "://" &amp; AK10 &amp; ":" &amp; AG10 &amp; "/" &amp; AO10 &amp; "/" &amp; I10
        ),
        IF(
            D10 = "-",
            "http://{worker-node}:{NodePort}/" &amp; I10,
            "http://{worker-node}:{NodePort}/" &amp; D10 &amp; "/" &amp; I10
        )
    )
)</f>
        <v>http://{worker-node}:{NodePort}/notifyDPMUpdate/receive</v>
      </c>
      <c r="BY10" s="74" t="str">
        <f>IF(OR(ISBLANK(H10),H10="-"),"URLが入力されていません","https://"&amp;Config!$C$3&amp;Config!$C$7&amp;Config!$C$10&amp;H10)</f>
        <v>https://vmc-osb-qa.hm.jp.honda.com/blue/vmcbom/v1/ReceiveNotifyDPMUpdate</v>
      </c>
      <c r="BZ10" s="74" t="str">
        <f t="shared" ref="BZ10:BZ12" si="31">IF(
    OR(
        I10 = "",
        I10 = "-"
    ),
    "URLが入力されていません",
    IF(
        C10 = "API管理",
        IF(
            AO10 = "",
AD10 &amp; "://" &amp; AL10 &amp; ":" &amp; AH10 &amp; "/" &amp; I10,
AD10 &amp; "://" &amp; AL10 &amp; ":" &amp; AH10 &amp; "/" &amp; AP10 &amp; "/" &amp; I10
        ),
        IF(
            D10 = "-",
            "http://{worker-node}:{NodePort}/" &amp; I10,
            "http://{worker-node}:{NodePort}/" &amp; D10 &amp; "/" &amp; I10
        )
    )
)</f>
        <v>http://{worker-node}:{NodePort}/notifyDPMUpdate/receive</v>
      </c>
      <c r="CA10" s="74" t="str">
        <f>IF(OR(ISBLANK(H10),H10="-"),"URLが入力されていません","https://"&amp;Config!$C$4&amp;Config!$C$8&amp;Config!$C$10&amp;H10)</f>
        <v>https://vmc-osb-itb.hm.jp.honda.com/yellow/vmcbom/v1/ReceiveNotifyDPMUpdate</v>
      </c>
      <c r="CB10" s="74" t="str">
        <f t="shared" ref="CB10:CB12" si="32">IF(
    OR(
        I10 = "",
        I10 = "-"
    ),
    "URLが入力されていません",
    IF(
        C10 = "API管理",
        IF(
            AO10 = "",
AE10 &amp; "://" &amp; AM10 &amp; ":" &amp; AI10 &amp; "/" &amp; I10,
AE10 &amp; "://" &amp; AM10 &amp; ":" &amp; AI10 &amp; "/" &amp; AQ10 &amp; "/" &amp; I10
        ),
        IF(
            D10 = "-",
            "http://{worker-node}:{NodePort}/" &amp; I10,
            "http://{worker-node}:{NodePort}/" &amp; D10 &amp; "/" &amp; I10
        )
    )
)</f>
        <v>http://{worker-node}:{NodePort}/notifyDPMUpdate/receive</v>
      </c>
      <c r="CC10" s="74" t="str">
        <f>IF(OR(ISBLANK(H10),H10="-"),"URLが入力されていません","https://"&amp;Config!$C$5&amp;Config!$C$9&amp;Config!$C$10&amp;H10)</f>
        <v>https://vpr-sv-aws101.aws.t.rd.honda.com/vmcbom/v1/ReceiveNotifyDPMUpdate</v>
      </c>
      <c r="CD10" s="74" t="str">
        <f t="shared" ref="CD10:CD12" si="33">IF(
    OR(
        I10 = "",
        I10 = "-"
    ),
    "URLが入力されていません",
    IF(
        C10 = "API管理",
        IF(
            AO10 = "",
AF10 &amp; "://" &amp; AN10 &amp; ":" &amp; AJ10 &amp; "/" &amp; I10,
AF10 &amp; "://" &amp; AN10 &amp; ":" &amp; AJ10 &amp; "/" &amp; AR10 &amp; "/" &amp; I10
        ),
        IF(
            D10 = "-",
            "http://{worker-node}:{NodePort}/" &amp; I10,
            "http://{worker-node}:{NodePort}/" &amp; D10 &amp; "/" &amp; I10
        )
    )
)</f>
        <v>http://{worker-node}:{NodePort}/notifyDPMUpdate/receive</v>
      </c>
      <c r="CE10" s="70"/>
      <c r="CF10" s="71"/>
      <c r="CG10" s="72" t="s">
        <v>158</v>
      </c>
    </row>
    <row r="11" spans="1:86" ht="15.6" customHeight="1" x14ac:dyDescent="0.3">
      <c r="B11" s="62" t="s">
        <v>209</v>
      </c>
      <c r="C11" s="62" t="s">
        <v>118</v>
      </c>
      <c r="D11" s="62" t="str">
        <f>IF(
    C11 = "",
    "",
    IF(
        C11 = "API管理",
        "-",
        VLOOKUP(
            C11,
            'Container Service'!$B$2:$F$100,
            4,
            FALSE
        )
    )
)</f>
        <v>-</v>
      </c>
      <c r="E11" s="62"/>
      <c r="F11" s="63" t="s">
        <v>218</v>
      </c>
      <c r="G11" s="63" t="s">
        <v>218</v>
      </c>
      <c r="H11" s="63" t="s">
        <v>218</v>
      </c>
      <c r="I11" s="62" t="s">
        <v>220</v>
      </c>
      <c r="J11" s="1" t="s">
        <v>186</v>
      </c>
      <c r="K11" s="62" t="str">
        <f t="shared" si="17"/>
        <v>updatedpmmapping-23-ingress</v>
      </c>
      <c r="L11" s="64" t="s">
        <v>27</v>
      </c>
      <c r="M11" s="64" t="s">
        <v>26</v>
      </c>
      <c r="N11" s="64"/>
      <c r="O11" s="62" t="str">
        <f t="shared" si="18"/>
        <v>vmc-step2-bom-ev6-vmc-step2-bom-acl</v>
      </c>
      <c r="P11" s="65" t="str">
        <f t="shared" si="19"/>
        <v>updatedpmmapping-rewrite-path</v>
      </c>
      <c r="Q11" s="66" t="str">
        <f t="shared" si="20"/>
        <v>/dpmMapping/update</v>
      </c>
      <c r="R11" s="66" t="str">
        <f t="shared" si="21"/>
        <v>/dpmMapping/update</v>
      </c>
      <c r="S11" s="66" t="str">
        <f t="shared" si="22"/>
        <v>/dpmMapping/update</v>
      </c>
      <c r="T11" s="66" t="str">
        <f t="shared" si="23"/>
        <v>/dpmMapping/update</v>
      </c>
      <c r="U11" s="66" t="str">
        <f>IF(
    C11 = "",
    "",
    IF(
        C11 = "API管理",
        AB11,
        VLOOKUP(
            C11,
            'Container Service'!$B$3:$F$100,
            5,
            FALSE
        )
    )
)</f>
        <v>vmcbom-services-public-k6-v6-apiv1</v>
      </c>
      <c r="V11" s="66">
        <f>IF(
    C11 = "",
    "",
    IF(
        C11 = "API管理",
        IF(
            AND(
                AG11 = AH11,
                AH11 = AI11,
                AI11 = AJ11
            ),
            AG11,
            "External Service Portの列に依存"
        ),
        VLOOKUP(
            C11,
            'Container Service'!$B$3:$G$100,
            6,
            FALSE
        )
    )
)</f>
        <v>80</v>
      </c>
      <c r="W11" s="66" t="str">
        <f>IF(OR(ISBLANK(H11),H11="-"),"-",IF(H11&lt;&gt;I11,Config!$C$6&amp;Config!$C$10&amp;H11,Config!$C$6&amp;Config!$C$10&amp;H11))</f>
        <v>/vmcbom/v1/UpdateDPMMapping</v>
      </c>
      <c r="X11" s="66" t="str">
        <f>IF(OR(ISBLANK(H11),H11="-"),"-",IF(H11&lt;&gt;I11,Config!$C$7&amp;Config!$C$10&amp;H11,Config!$C$7&amp;Config!$C$10&amp;H11))</f>
        <v>/blue/vmcbom/v1/UpdateDPMMapping</v>
      </c>
      <c r="Y11" s="66" t="str">
        <f>IF(OR(ISBLANK(H11),H11="-"),"-",IF(H11&lt;&gt;I11,Config!$C$8&amp;Config!$C$10&amp;H11,Config!$C$8&amp;Config!$C$10&amp;H11))</f>
        <v>/yellow/vmcbom/v1/UpdateDPMMapping</v>
      </c>
      <c r="Z11" s="66" t="str">
        <f>IF(OR(ISBLANK(H11),H11="-"),"-",IF(H11&lt;&gt;I11,Config!$C$9&amp;Config!$C$10&amp;H11,Config!$C$9&amp;Config!$C$10&amp;H11))</f>
        <v>/vmcbom/v1/UpdateDPMMapping</v>
      </c>
      <c r="AA11" s="62"/>
      <c r="AB11" s="62" t="str">
        <f t="shared" si="24"/>
        <v/>
      </c>
      <c r="AC11" s="67"/>
      <c r="AD11" s="67"/>
      <c r="AE11" s="67"/>
      <c r="AF11" s="67"/>
      <c r="AG11" s="66"/>
      <c r="AH11" s="66"/>
      <c r="AI11" s="66"/>
      <c r="AJ11" s="66"/>
      <c r="AK11" s="62"/>
      <c r="AL11" s="62"/>
      <c r="AM11" s="62"/>
      <c r="AN11" s="62"/>
      <c r="AO11" s="62"/>
      <c r="AP11" s="62"/>
      <c r="AQ11" s="62"/>
      <c r="AR11" s="62"/>
      <c r="AS11" s="62" t="s">
        <v>0</v>
      </c>
      <c r="AT11" s="66" t="s">
        <v>0</v>
      </c>
      <c r="AU11" s="66" t="s">
        <v>0</v>
      </c>
      <c r="AV11" s="66" t="s">
        <v>0</v>
      </c>
      <c r="AW11" s="66" t="s">
        <v>0</v>
      </c>
      <c r="AX11" s="66" t="s">
        <v>0</v>
      </c>
      <c r="AY11" s="66" t="s">
        <v>0</v>
      </c>
      <c r="AZ11" s="66" t="s">
        <v>0</v>
      </c>
      <c r="BA11" s="66" t="s">
        <v>0</v>
      </c>
      <c r="BB11" s="66" t="s">
        <v>0</v>
      </c>
      <c r="BC11" s="66" t="s">
        <v>0</v>
      </c>
      <c r="BD11" s="66" t="s">
        <v>0</v>
      </c>
      <c r="BE11" s="66" t="s">
        <v>0</v>
      </c>
      <c r="BF11" s="62" t="str">
        <f t="shared" si="25"/>
        <v>updatedpmmapping-rewrite-path.yaml</v>
      </c>
      <c r="BG11" s="62" t="str">
        <f t="shared" si="26"/>
        <v>updatedpmmapping-23-ingress.yaml</v>
      </c>
      <c r="BH11" s="62" t="str">
        <f t="shared" si="27"/>
        <v/>
      </c>
      <c r="BI11" s="66" t="str">
        <f t="shared" si="28"/>
        <v/>
      </c>
      <c r="BJ11" s="68" t="str">
        <f>IF(C11="","",IF(COUNTIF(O$9:O11,O11)=1,"1",""))</f>
        <v/>
      </c>
      <c r="BK11" s="69" t="str">
        <f>IF(
    C11 = "",
    "",
    IF(
        COUNTIF(
            P$9:P11,
            P11
        ) &gt;= 1,
        "2",
        ""
    )
)</f>
        <v>2</v>
      </c>
      <c r="BL11" s="68" t="str">
        <f t="shared" si="29"/>
        <v>3</v>
      </c>
      <c r="BM11" s="68" t="str">
        <f>IF(
    C11 = "",
    "",
    IF(
        C11 &lt;&gt; "API管理",
        IF(
            AS11 = "-",
            "",
            IF(
                COUNTIF(
                    BI$9:BI11,
                    BI11
                ) = 1,
                "4-1",
                "4-2"
            )
        ),
        ""
    )
)</f>
        <v/>
      </c>
      <c r="BN11" s="68" t="str">
        <f>IF(
    C11 = "",
    "",
    IF(
        C11 &lt;&gt; "API管理",
        "",
        IF(
            AS11 = "-",
            IF(
                COUNTIF(
                    BH$9:BH11,
                    BH11
                ) = 1,
                "5-1",
                "5-2"
            ),
            ""
        )
    )
)</f>
        <v/>
      </c>
      <c r="BO11" s="68" t="str">
        <f>IF(
    C11 = "",
    "",
    IF(
        C11 &lt;&gt; "API管理",
        "",
        IF(
            AS11 = "-",
            "",
                IF(
                    COUNTIF(
                        BH$9:BH11,
                        BH11
                    ) = 1,
                    IF(
                        COUNTIF(
                            BI$9:BI11,
                            BI11
                        ) = 1,
                        "6-1",
                        "6-3"
                    ),
                    IF(
                        COUNTIF(
                            BI$9:BI11,
                            BI11
                        ) = 1,
                        "6-2",
                        "6-4"
                    )
            )
        )
    )
)</f>
        <v/>
      </c>
      <c r="BP11" s="68"/>
      <c r="BQ11" s="70"/>
      <c r="BR11" s="71" t="s">
        <v>157</v>
      </c>
      <c r="BS11" s="72" t="s">
        <v>212</v>
      </c>
      <c r="BT11" s="72" t="s">
        <v>158</v>
      </c>
      <c r="BU11" s="72" t="s">
        <v>158</v>
      </c>
      <c r="BV11" s="73" t="s">
        <v>158</v>
      </c>
      <c r="BW11" s="74" t="str">
        <f>IF(OR(ISBLANK(H11),H11="-"),"URLが入力されていません","https://"&amp;Config!$C$2&amp;Config!$C$6&amp;Config!$C$10&amp;H11)</f>
        <v>https://vmc-osb.hm.jp.honda.com/vmcbom/v1/UpdateDPMMapping</v>
      </c>
      <c r="BX11" s="74" t="str">
        <f t="shared" si="30"/>
        <v>http://{worker-node}:{NodePort}/dpmMapping/update</v>
      </c>
      <c r="BY11" s="74" t="str">
        <f>IF(OR(ISBLANK(H11),H11="-"),"URLが入力されていません","https://"&amp;Config!$C$3&amp;Config!$C$7&amp;Config!$C$10&amp;H11)</f>
        <v>https://vmc-osb-qa.hm.jp.honda.com/blue/vmcbom/v1/UpdateDPMMapping</v>
      </c>
      <c r="BZ11" s="74" t="str">
        <f t="shared" si="31"/>
        <v>http://{worker-node}:{NodePort}/dpmMapping/update</v>
      </c>
      <c r="CA11" s="74" t="str">
        <f>IF(OR(ISBLANK(H11),H11="-"),"URLが入力されていません","https://"&amp;Config!$C$4&amp;Config!$C$8&amp;Config!$C$10&amp;H11)</f>
        <v>https://vmc-osb-itb.hm.jp.honda.com/yellow/vmcbom/v1/UpdateDPMMapping</v>
      </c>
      <c r="CB11" s="74" t="str">
        <f t="shared" si="32"/>
        <v>http://{worker-node}:{NodePort}/dpmMapping/update</v>
      </c>
      <c r="CC11" s="74" t="str">
        <f>IF(OR(ISBLANK(H11),H11="-"),"URLが入力されていません","https://"&amp;Config!$C$5&amp;Config!$C$9&amp;Config!$C$10&amp;H11)</f>
        <v>https://vpr-sv-aws101.aws.t.rd.honda.com/vmcbom/v1/UpdateDPMMapping</v>
      </c>
      <c r="CD11" s="74" t="str">
        <f t="shared" si="33"/>
        <v>http://{worker-node}:{NodePort}/dpmMapping/update</v>
      </c>
      <c r="CE11" s="70"/>
      <c r="CF11" s="71"/>
      <c r="CG11" s="72" t="s">
        <v>158</v>
      </c>
    </row>
    <row r="12" spans="1:86" ht="15.75" customHeight="1" x14ac:dyDescent="0.3">
      <c r="A12" s="76"/>
      <c r="B12" s="62" t="s">
        <v>227</v>
      </c>
      <c r="C12" s="62" t="s">
        <v>223</v>
      </c>
      <c r="D12" s="1" t="str">
        <f>IF(
    C12 = "",
    "",
    IF(
        C12 = "API管理",
        "-",
        VLOOKUP(
            C12,
            'Container Service'!$B$2:$F$100,
            4,
            FALSE
        )
    )
)</f>
        <v>-</v>
      </c>
      <c r="E12" s="1"/>
      <c r="F12" s="5" t="s">
        <v>228</v>
      </c>
      <c r="G12" s="5" t="s">
        <v>228</v>
      </c>
      <c r="H12" s="5" t="s">
        <v>228</v>
      </c>
      <c r="I12" s="5" t="s">
        <v>228</v>
      </c>
      <c r="J12" s="1" t="s">
        <v>188</v>
      </c>
      <c r="K12" s="1" t="str">
        <f t="shared" si="17"/>
        <v>getuserpermissionsubsection-123-ingress</v>
      </c>
      <c r="L12" s="1" t="s">
        <v>26</v>
      </c>
      <c r="M12" s="3"/>
      <c r="N12" s="3"/>
      <c r="O12" s="1" t="str">
        <f t="shared" si="18"/>
        <v>vmc-step2-bom-acl</v>
      </c>
      <c r="P12" s="60" t="str">
        <f t="shared" si="19"/>
        <v>getuserpermissionsubsection-rewrite-path</v>
      </c>
      <c r="Q12" s="4" t="str">
        <f t="shared" si="20"/>
        <v>/GetUserPermissionSubSection</v>
      </c>
      <c r="R12" s="4" t="str">
        <f t="shared" si="21"/>
        <v>/GetUserPermissionSubSection</v>
      </c>
      <c r="S12" s="4" t="str">
        <f t="shared" si="22"/>
        <v>/GetUserPermissionSubSection</v>
      </c>
      <c r="T12" s="4" t="str">
        <f t="shared" si="23"/>
        <v>/GetUserPermissionSubSection</v>
      </c>
      <c r="U12" s="4" t="str">
        <f>IF(
    C12 = "",
    "",
    IF(
        C12 = "API管理",
        AB12,
        VLOOKUP(
            C12,
            'Container Service'!$B$3:$F$100,
            5,
            FALSE
        )
    )
)</f>
        <v>vmcbom-services-public-rex-apiv1</v>
      </c>
      <c r="V12" s="4">
        <f>IF(
    C12 = "",
    "",
    IF(
        C12 = "API管理",
        IF(
            AND(
                AG12 = AH12,
                AH12 = AI12,
                AI12 = AJ12
            ),
            AG12,
            "External Service Portの列に依存"
        ),
        VLOOKUP(
            C12,
            'Container Service'!$B$3:$G$100,
            6,
            FALSE
        )
    )
)</f>
        <v>80</v>
      </c>
      <c r="W12" s="4" t="str">
        <f>IF(OR(ISBLANK(H12),H12="-"),"-",IF(H12&lt;&gt;I12,Config!$C$6&amp;Config!$C$10&amp;H12,Config!$C$6&amp;Config!$C$10&amp;H12))</f>
        <v>/vmcbom/v1/GetUserPermissionSubSection</v>
      </c>
      <c r="X12" s="4" t="str">
        <f>IF(OR(ISBLANK(H12),H12="-"),"-",IF(H12&lt;&gt;I12,Config!$C$7&amp;Config!$C$10&amp;H12,Config!$C$7&amp;Config!$C$10&amp;H12))</f>
        <v>/blue/vmcbom/v1/GetUserPermissionSubSection</v>
      </c>
      <c r="Y12" s="4" t="str">
        <f>IF(OR(ISBLANK(H12),H12="-"),"-",IF(H12&lt;&gt;I12,Config!$C$8&amp;Config!$C$10&amp;H12,Config!$C$8&amp;Config!$C$10&amp;H12))</f>
        <v>/yellow/vmcbom/v1/GetUserPermissionSubSection</v>
      </c>
      <c r="Z12" s="4" t="str">
        <f>IF(OR(ISBLANK(H12),H12="-"),"-",IF(H12&lt;&gt;I12,Config!$C$9&amp;Config!$C$10&amp;H12,Config!$C$9&amp;Config!$C$10&amp;H12))</f>
        <v>/vmcbom/v1/GetUserPermissionSubSection</v>
      </c>
      <c r="AA12" s="1"/>
      <c r="AB12" s="1" t="str">
        <f t="shared" si="24"/>
        <v/>
      </c>
      <c r="AC12" s="46"/>
      <c r="AD12" s="46"/>
      <c r="AE12" s="46"/>
      <c r="AF12" s="46"/>
      <c r="AG12" s="4"/>
      <c r="AH12" s="4"/>
      <c r="AI12" s="4"/>
      <c r="AJ12" s="4"/>
      <c r="AK12" s="1"/>
      <c r="AL12" s="1"/>
      <c r="AM12" s="1"/>
      <c r="AN12" s="1"/>
      <c r="AO12" s="1"/>
      <c r="AP12" s="1"/>
      <c r="AQ12" s="1"/>
      <c r="AR12" s="1"/>
      <c r="AS12" s="1" t="s">
        <v>0</v>
      </c>
      <c r="AT12" s="4" t="s">
        <v>0</v>
      </c>
      <c r="AU12" s="4" t="s">
        <v>0</v>
      </c>
      <c r="AV12" s="4" t="s">
        <v>0</v>
      </c>
      <c r="AW12" s="4" t="s">
        <v>0</v>
      </c>
      <c r="AX12" s="4" t="s">
        <v>0</v>
      </c>
      <c r="AY12" s="4" t="s">
        <v>0</v>
      </c>
      <c r="AZ12" s="4" t="s">
        <v>0</v>
      </c>
      <c r="BA12" s="4" t="s">
        <v>0</v>
      </c>
      <c r="BB12" s="4" t="s">
        <v>0</v>
      </c>
      <c r="BC12" s="4" t="s">
        <v>0</v>
      </c>
      <c r="BD12" s="4" t="s">
        <v>0</v>
      </c>
      <c r="BE12" s="4" t="s">
        <v>0</v>
      </c>
      <c r="BF12" s="1" t="str">
        <f t="shared" si="25"/>
        <v>getuserpermissionsubsection-rewrite-path.yaml</v>
      </c>
      <c r="BG12" s="1" t="str">
        <f t="shared" si="26"/>
        <v>getuserpermissionsubsection-123-ingress.yaml</v>
      </c>
      <c r="BH12" s="1" t="str">
        <f t="shared" si="27"/>
        <v/>
      </c>
      <c r="BI12" s="4" t="str">
        <f t="shared" si="28"/>
        <v/>
      </c>
      <c r="BJ12" s="6" t="str">
        <f>IF(C12="","",IF(COUNTIF(O$9:O12,O12)=1,"1",""))</f>
        <v>1</v>
      </c>
      <c r="BK12" s="42" t="str">
        <f>IF(
    C12 = "",
    "",
    IF(
        COUNTIF(
            P$9:P12,
            P12
        ) &gt;= 1,
        "2",
        ""
    )
)</f>
        <v>2</v>
      </c>
      <c r="BL12" s="6" t="str">
        <f t="shared" si="29"/>
        <v>3</v>
      </c>
      <c r="BM12" s="6" t="str">
        <f>IF(
    C12 = "",
    "",
    IF(
        C12 &lt;&gt; "API管理",
        IF(
            AS12 = "-",
            "",
            IF(
                COUNTIF(
                    BI$9:BI12,
                    BI12
                ) = 1,
                "4-1",
                "4-2"
            )
        ),
        ""
    )
)</f>
        <v/>
      </c>
      <c r="BN12" s="6" t="str">
        <f>IF(
    C12 = "",
    "",
    IF(
        C12 &lt;&gt; "API管理",
        "",
        IF(
            AS12 = "-",
            IF(
                COUNTIF(
                    BH$9:BH12,
                    BH12
                ) = 1,
                "5-1",
                "5-2"
            ),
            ""
        )
    )
)</f>
        <v/>
      </c>
      <c r="BO12" s="6" t="str">
        <f>IF(
    C12 = "",
    "",
    IF(
        C12 &lt;&gt; "API管理",
        "",
        IF(
            AS12 = "-",
            "",
                IF(
                    COUNTIF(
                        BH$9:BH12,
                        BH12
                    ) = 1,
                    IF(
                        COUNTIF(
                            BI$9:BI12,
                            BI12
                        ) = 1,
                        "6-1",
                        "6-3"
                    ),
                    IF(
                        COUNTIF(
                            BI$9:BI12,
                            BI12
                        ) = 1,
                        "6-2",
                        "6-4"
                    )
            )
        )
    )
)</f>
        <v/>
      </c>
      <c r="BP12" s="6"/>
      <c r="BQ12" s="49">
        <v>45581</v>
      </c>
      <c r="BR12" s="32" t="s">
        <v>157</v>
      </c>
      <c r="BS12" s="30" t="s">
        <v>212</v>
      </c>
      <c r="BT12" s="30" t="s">
        <v>212</v>
      </c>
      <c r="BU12" s="30" t="s">
        <v>212</v>
      </c>
      <c r="BV12" s="48" t="s">
        <v>212</v>
      </c>
      <c r="BW12" s="27" t="str">
        <f>IF(OR(ISBLANK(H12),H12="-"),"URLが入力されていません","https://"&amp;Config!$C$2&amp;Config!$C$6&amp;Config!$C$10&amp;H12)</f>
        <v>https://vmc-osb.hm.jp.honda.com/vmcbom/v1/GetUserPermissionSubSection</v>
      </c>
      <c r="BX12" s="27" t="str">
        <f t="shared" si="30"/>
        <v>http://{worker-node}:{NodePort}/GetUserPermissionSubSection</v>
      </c>
      <c r="BY12" s="27" t="str">
        <f>IF(OR(ISBLANK(H12),H12="-"),"URLが入力されていません","https://"&amp;Config!$C$3&amp;Config!$C$7&amp;Config!$C$10&amp;H12)</f>
        <v>https://vmc-osb-qa.hm.jp.honda.com/blue/vmcbom/v1/GetUserPermissionSubSection</v>
      </c>
      <c r="BZ12" s="27" t="str">
        <f t="shared" si="31"/>
        <v>http://{worker-node}:{NodePort}/GetUserPermissionSubSection</v>
      </c>
      <c r="CA12" s="27" t="str">
        <f>IF(OR(ISBLANK(H12),H12="-"),"URLが入力されていません","https://"&amp;Config!$C$4&amp;Config!$C$8&amp;Config!$C$10&amp;H12)</f>
        <v>https://vmc-osb-itb.hm.jp.honda.com/yellow/vmcbom/v1/GetUserPermissionSubSection</v>
      </c>
      <c r="CB12" s="27" t="str">
        <f t="shared" si="32"/>
        <v>http://{worker-node}:{NodePort}/GetUserPermissionSubSection</v>
      </c>
      <c r="CC12" s="27" t="str">
        <f>IF(OR(ISBLANK(H12),H12="-"),"URLが入力されていません","https://"&amp;Config!$C$5&amp;Config!$C$9&amp;Config!$C$10&amp;H12)</f>
        <v>https://vpr-sv-aws101.aws.t.rd.honda.com/vmcbom/v1/GetUserPermissionSubSection</v>
      </c>
      <c r="CD12" s="27" t="str">
        <f t="shared" si="33"/>
        <v>http://{worker-node}:{NodePort}/GetUserPermissionSubSection</v>
      </c>
      <c r="CE12" s="49"/>
      <c r="CF12" s="32"/>
      <c r="CG12" s="30" t="s">
        <v>158</v>
      </c>
    </row>
    <row r="13" spans="1:86" ht="15.75" customHeight="1" x14ac:dyDescent="0.3">
      <c r="A13" s="76"/>
      <c r="B13" s="62" t="s">
        <v>227</v>
      </c>
      <c r="C13" s="62" t="s">
        <v>223</v>
      </c>
      <c r="D13" s="1" t="str">
        <f>IF(
    C13 = "",
    "",
    IF(
        C13 = "API管理",
        "-",
        VLOOKUP(
            C13,
            'Container Service'!$B$2:$F$100,
            4,
            FALSE
        )
    )
)</f>
        <v>-</v>
      </c>
      <c r="E13" s="1"/>
      <c r="F13" s="5" t="s">
        <v>232</v>
      </c>
      <c r="G13" s="5" t="s">
        <v>229</v>
      </c>
      <c r="H13" s="5" t="s">
        <v>229</v>
      </c>
      <c r="I13" s="5" t="s">
        <v>229</v>
      </c>
      <c r="J13" s="1" t="s">
        <v>186</v>
      </c>
      <c r="K13" s="1" t="str">
        <f t="shared" ref="K13:K16" si="34">IF(C13="",
    "",
    LOWER(
        SUBSTITUTE(
            SUBSTITUTE(
                G13 &amp; "-" &amp; BJ13 &amp; BK13 &amp; BL13 &amp; BM13 &amp; BN13 &amp; BO13 &amp; BP13 &amp; "-ingress",
                " ",
                ""
            ),
            "_",
            "-"
        )
    )
)</f>
        <v>promoteeventp-list-23-ingress</v>
      </c>
      <c r="L13" s="1" t="s">
        <v>26</v>
      </c>
      <c r="M13" s="3"/>
      <c r="N13" s="3"/>
      <c r="O13" s="1" t="str">
        <f t="shared" ref="O13:O16" si="35">IF(
    C13 = "",
    "",
    SUBSTITUTE(
        LOWER(
            IF(
                M13 = "",
                L13 &amp; "-acl",
                IF(
                    N13 = "",
                    L13 &amp; "-" &amp; M13 &amp; "-acl",
                    L13 &amp; "-" &amp; M13 &amp; "-" &amp; N13 &amp; "-acl"
                )
            )
        ),
        "_",
        "-"
    )
)</f>
        <v>vmc-step2-bom-acl</v>
      </c>
      <c r="P13" s="60" t="str">
        <f t="shared" ref="P13:P16" si="36">IF(C13="",
    "",
    LOWER(
        SUBSTITUTE(
            SUBSTITUTE(
                G13 &amp; "-rewrite-path",
                " ",
                ""
            ),
            "_",
            "-"
        )
    )
)</f>
        <v>promoteeventp-list-rewrite-path</v>
      </c>
      <c r="Q13" s="4" t="str">
        <f t="shared" ref="Q13:Q16" si="37">IF(
    C13 = "",
    "",
    IF(
        C13 = "API管理",
        IF(
            AO13 &lt;&gt; "",
            "/" &amp; AO13 &amp; "/" &amp; I13,
            "/" &amp; I13
        ),
        IF(
            D13 &lt;&gt; "-",
            "/" &amp; D13 &amp; "/" &amp; I13,
            "/" &amp; I13
        )
    )
)</f>
        <v>/PromoteEventP-List</v>
      </c>
      <c r="R13" s="4" t="str">
        <f t="shared" ref="R13:R16" si="38">IF(
    C13 = "",
    "",
    IF(
        C13 = "API管理",
        IF(
            AP13 &lt;&gt; "",
            "/" &amp; AP13 &amp; "/" &amp; I13,
            "/" &amp; I13
        ),
        IF(
            D13 &lt;&gt; "-",
            "/" &amp; D13 &amp; "/" &amp; I13,
            "/" &amp; I13
        )
    )
)</f>
        <v>/PromoteEventP-List</v>
      </c>
      <c r="S13" s="4" t="str">
        <f t="shared" ref="S13:S16" si="39">IF(
    C13 = "",
    "",
    IF(
        C13 = "API管理",
        IF(
            AQ13 &lt;&gt; "",
            "/" &amp; AQ13 &amp; "/" &amp; I13,
            "/" &amp; I13
        ),
        IF(
            D13 &lt;&gt; "-",
            "/" &amp; D13 &amp; "/" &amp; I13,
            "/" &amp; I13
        )
    )
)</f>
        <v>/PromoteEventP-List</v>
      </c>
      <c r="T13" s="4" t="str">
        <f t="shared" ref="T13:T16" si="40">IF(
    C13 = "",
    "",
    IF(
        C13 = "API管理",
        IF(
            AR13 &lt;&gt; "",
            "/" &amp; AR13 &amp; "/" &amp; I13,
            "/" &amp; I13
        ),
        IF(
            D13 &lt;&gt; "-",
            "/" &amp; D13 &amp; "/" &amp; I13,
            "/" &amp; I13
        )
    )
)</f>
        <v>/PromoteEventP-List</v>
      </c>
      <c r="U13" s="4" t="str">
        <f>IF(
    C13 = "",
    "",
    IF(
        C13 = "API管理",
        AB13,
        VLOOKUP(
            C13,
            'Container Service'!$B$3:$F$100,
            5,
            FALSE
        )
    )
)</f>
        <v>vmcbom-services-public-rex-apiv1</v>
      </c>
      <c r="V13" s="4">
        <f>IF(
    C13 = "",
    "",
    IF(
        C13 = "API管理",
        IF(
            AND(
                AG13 = AH13,
                AH13 = AI13,
                AI13 = AJ13
            ),
            AG13,
            "External Service Portの列に依存"
        ),
        VLOOKUP(
            C13,
            'Container Service'!$B$3:$G$100,
            6,
            FALSE
        )
    )
)</f>
        <v>80</v>
      </c>
      <c r="W13" s="4" t="str">
        <f>IF(OR(ISBLANK(H13),H13="-"),"-",IF(H13&lt;&gt;I13,Config!$C$6&amp;Config!$C$10&amp;H13,Config!$C$6&amp;Config!$C$10&amp;H13))</f>
        <v>/vmcbom/v1/PromoteEventP-List</v>
      </c>
      <c r="X13" s="4" t="str">
        <f>IF(OR(ISBLANK(H13),H13="-"),"-",IF(H13&lt;&gt;I13,Config!$C$7&amp;Config!$C$10&amp;H13,Config!$C$7&amp;Config!$C$10&amp;H13))</f>
        <v>/blue/vmcbom/v1/PromoteEventP-List</v>
      </c>
      <c r="Y13" s="4" t="str">
        <f>IF(OR(ISBLANK(H13),H13="-"),"-",IF(H13&lt;&gt;I13,Config!$C$8&amp;Config!$C$10&amp;H13,Config!$C$8&amp;Config!$C$10&amp;H13))</f>
        <v>/yellow/vmcbom/v1/PromoteEventP-List</v>
      </c>
      <c r="Z13" s="4" t="str">
        <f>IF(OR(ISBLANK(H13),H13="-"),"-",IF(H13&lt;&gt;I13,Config!$C$9&amp;Config!$C$10&amp;H13,Config!$C$9&amp;Config!$C$10&amp;H13))</f>
        <v>/vmcbom/v1/PromoteEventP-List</v>
      </c>
      <c r="AA13" s="1"/>
      <c r="AB13" s="1" t="str">
        <f t="shared" ref="AB13:AB16" si="41">SUBSTITUTE(LOWER(IF(AA13="","","path-through-"&amp;AA13&amp;"-service")),"_","-")</f>
        <v/>
      </c>
      <c r="AC13" s="46"/>
      <c r="AD13" s="46"/>
      <c r="AE13" s="46"/>
      <c r="AF13" s="46"/>
      <c r="AG13" s="4"/>
      <c r="AH13" s="4"/>
      <c r="AI13" s="4"/>
      <c r="AJ13" s="4"/>
      <c r="AK13" s="1"/>
      <c r="AL13" s="1"/>
      <c r="AM13" s="1"/>
      <c r="AN13" s="1"/>
      <c r="AO13" s="1"/>
      <c r="AP13" s="1"/>
      <c r="AQ13" s="1"/>
      <c r="AR13" s="1"/>
      <c r="AS13" s="1" t="s">
        <v>0</v>
      </c>
      <c r="AT13" s="4" t="s">
        <v>0</v>
      </c>
      <c r="AU13" s="4" t="s">
        <v>0</v>
      </c>
      <c r="AV13" s="4" t="s">
        <v>0</v>
      </c>
      <c r="AW13" s="4" t="s">
        <v>0</v>
      </c>
      <c r="AX13" s="4" t="s">
        <v>0</v>
      </c>
      <c r="AY13" s="4" t="s">
        <v>0</v>
      </c>
      <c r="AZ13" s="4" t="s">
        <v>0</v>
      </c>
      <c r="BA13" s="4" t="s">
        <v>0</v>
      </c>
      <c r="BB13" s="4" t="s">
        <v>0</v>
      </c>
      <c r="BC13" s="4" t="s">
        <v>0</v>
      </c>
      <c r="BD13" s="4" t="s">
        <v>0</v>
      </c>
      <c r="BE13" s="4" t="s">
        <v>0</v>
      </c>
      <c r="BF13" s="1" t="str">
        <f t="shared" si="8"/>
        <v>promoteeventp-list-rewrite-path.yaml</v>
      </c>
      <c r="BG13" s="1" t="str">
        <f t="shared" si="9"/>
        <v>promoteeventp-list-23-ingress.yaml</v>
      </c>
      <c r="BH13" s="1" t="str">
        <f t="shared" ref="BH13:BH16" si="42">SUBSTITUTE(LOWER(IF(AA13="","","path-through-"&amp;AA13&amp;"-service.yaml")),"_","-")</f>
        <v/>
      </c>
      <c r="BI13" s="4" t="str">
        <f t="shared" ref="BI13:BI16" si="43">SUBSTITUTE(LOWER(IF(AS13="-","",AS13&amp;".yaml")),"_","-")</f>
        <v/>
      </c>
      <c r="BJ13" s="6" t="str">
        <f>IF(C13="","",IF(COUNTIF(O$9:O13,O13)=1,"1",""))</f>
        <v/>
      </c>
      <c r="BK13" s="42" t="str">
        <f>IF(
    C13 = "",
    "",
    IF(
        COUNTIF(
            P$9:P13,
            P13
        ) &gt;= 1,
        "2",
        ""
    )
)</f>
        <v>2</v>
      </c>
      <c r="BL13" s="6" t="str">
        <f t="shared" si="12"/>
        <v>3</v>
      </c>
      <c r="BM13" s="6" t="str">
        <f>IF(
    C13 = "",
    "",
    IF(
        C13 &lt;&gt; "API管理",
        IF(
            AS13 = "-",
            "",
            IF(
                COUNTIF(
                    BI$9:BI13,
                    BI13
                ) = 1,
                "4-1",
                "4-2"
            )
        ),
        ""
    )
)</f>
        <v/>
      </c>
      <c r="BN13" s="6" t="str">
        <f>IF(
    C13 = "",
    "",
    IF(
        C13 &lt;&gt; "API管理",
        "",
        IF(
            AS13 = "-",
            IF(
                COUNTIF(
                    BH$9:BH13,
                    BH13
                ) = 1,
                "5-1",
                "5-2"
            ),
            ""
        )
    )
)</f>
        <v/>
      </c>
      <c r="BO13" s="6" t="str">
        <f>IF(
    C13 = "",
    "",
    IF(
        C13 &lt;&gt; "API管理",
        "",
        IF(
            AS13 = "-",
            "",
                IF(
                    COUNTIF(
                        BH$9:BH13,
                        BH13
                    ) = 1,
                    IF(
                        COUNTIF(
                            BI$9:BI13,
                            BI13
                        ) = 1,
                        "6-1",
                        "6-3"
                    ),
                    IF(
                        COUNTIF(
                            BI$9:BI13,
                            BI13
                        ) = 1,
                        "6-2",
                        "6-4"
                    )
            )
        )
    )
)</f>
        <v/>
      </c>
      <c r="BP13" s="6"/>
      <c r="BQ13" s="49">
        <v>45581</v>
      </c>
      <c r="BR13" s="32" t="s">
        <v>157</v>
      </c>
      <c r="BS13" s="30" t="s">
        <v>212</v>
      </c>
      <c r="BT13" s="30" t="s">
        <v>212</v>
      </c>
      <c r="BU13" s="30" t="s">
        <v>212</v>
      </c>
      <c r="BV13" s="48" t="s">
        <v>212</v>
      </c>
      <c r="BW13" s="27" t="str">
        <f>IF(OR(ISBLANK(H13),H13="-"),"URLが入力されていません","https://"&amp;Config!$C$2&amp;Config!$C$6&amp;Config!$C$10&amp;H13)</f>
        <v>https://vmc-osb.hm.jp.honda.com/vmcbom/v1/PromoteEventP-List</v>
      </c>
      <c r="BX13" s="27" t="str">
        <f t="shared" ref="BX13:BX16" si="44">IF(
    OR(
        I13 = "",
        I13 = "-"
    ),
    "URLが入力されていません",
    IF(
        C13 = "API管理",
        IF(
            AO13 = "",
AC13 &amp; "://" &amp; AK13 &amp; ":" &amp; AG13 &amp; "/" &amp; I13,
AC13 &amp; "://" &amp; AK13 &amp; ":" &amp; AG13 &amp; "/" &amp; AO13 &amp; "/" &amp; I13
        ),
        IF(
            D13 = "-",
            "http://{worker-node}:{NodePort}/" &amp; I13,
            "http://{worker-node}:{NodePort}/" &amp; D13 &amp; "/" &amp; I13
        )
    )
)</f>
        <v>http://{worker-node}:{NodePort}/PromoteEventP-List</v>
      </c>
      <c r="BY13" s="27" t="str">
        <f>IF(OR(ISBLANK(H13),H13="-"),"URLが入力されていません","https://"&amp;Config!$C$3&amp;Config!$C$7&amp;Config!$C$10&amp;H13)</f>
        <v>https://vmc-osb-qa.hm.jp.honda.com/blue/vmcbom/v1/PromoteEventP-List</v>
      </c>
      <c r="BZ13" s="27" t="str">
        <f t="shared" ref="BZ13:BZ16" si="45">IF(
    OR(
        I13 = "",
        I13 = "-"
    ),
    "URLが入力されていません",
    IF(
        C13 = "API管理",
        IF(
            AO13 = "",
AD13 &amp; "://" &amp; AL13 &amp; ":" &amp; AH13 &amp; "/" &amp; I13,
AD13 &amp; "://" &amp; AL13 &amp; ":" &amp; AH13 &amp; "/" &amp; AP13 &amp; "/" &amp; I13
        ),
        IF(
            D13 = "-",
            "http://{worker-node}:{NodePort}/" &amp; I13,
            "http://{worker-node}:{NodePort}/" &amp; D13 &amp; "/" &amp; I13
        )
    )
)</f>
        <v>http://{worker-node}:{NodePort}/PromoteEventP-List</v>
      </c>
      <c r="CA13" s="27" t="str">
        <f>IF(OR(ISBLANK(H13),H13="-"),"URLが入力されていません","https://"&amp;Config!$C$4&amp;Config!$C$8&amp;Config!$C$10&amp;H13)</f>
        <v>https://vmc-osb-itb.hm.jp.honda.com/yellow/vmcbom/v1/PromoteEventP-List</v>
      </c>
      <c r="CB13" s="27" t="str">
        <f t="shared" ref="CB13:CB16" si="46">IF(
    OR(
        I13 = "",
        I13 = "-"
    ),
    "URLが入力されていません",
    IF(
        C13 = "API管理",
        IF(
            AO13 = "",
AE13 &amp; "://" &amp; AM13 &amp; ":" &amp; AI13 &amp; "/" &amp; I13,
AE13 &amp; "://" &amp; AM13 &amp; ":" &amp; AI13 &amp; "/" &amp; AQ13 &amp; "/" &amp; I13
        ),
        IF(
            D13 = "-",
            "http://{worker-node}:{NodePort}/" &amp; I13,
            "http://{worker-node}:{NodePort}/" &amp; D13 &amp; "/" &amp; I13
        )
    )
)</f>
        <v>http://{worker-node}:{NodePort}/PromoteEventP-List</v>
      </c>
      <c r="CC13" s="27" t="str">
        <f>IF(OR(ISBLANK(H13),H13="-"),"URLが入力されていません","https://"&amp;Config!$C$5&amp;Config!$C$9&amp;Config!$C$10&amp;H13)</f>
        <v>https://vpr-sv-aws101.aws.t.rd.honda.com/vmcbom/v1/PromoteEventP-List</v>
      </c>
      <c r="CD13" s="27" t="str">
        <f t="shared" ref="CD13:CD16" si="47">IF(
    OR(
        I13 = "",
        I13 = "-"
    ),
    "URLが入力されていません",
    IF(
        C13 = "API管理",
        IF(
            AO13 = "",
AF13 &amp; "://" &amp; AN13 &amp; ":" &amp; AJ13 &amp; "/" &amp; I13,
AF13 &amp; "://" &amp; AN13 &amp; ":" &amp; AJ13 &amp; "/" &amp; AR13 &amp; "/" &amp; I13
        ),
        IF(
            D13 = "-",
            "http://{worker-node}:{NodePort}/" &amp; I13,
            "http://{worker-node}:{NodePort}/" &amp; D13 &amp; "/" &amp; I13
        )
    )
)</f>
        <v>http://{worker-node}:{NodePort}/PromoteEventP-List</v>
      </c>
      <c r="CE13" s="49"/>
      <c r="CF13" s="32"/>
      <c r="CG13" s="30" t="s">
        <v>158</v>
      </c>
    </row>
    <row r="14" spans="1:86" ht="15.75" customHeight="1" x14ac:dyDescent="0.3">
      <c r="A14" s="78" t="s">
        <v>234</v>
      </c>
      <c r="B14" s="62" t="s">
        <v>227</v>
      </c>
      <c r="C14" s="62" t="s">
        <v>223</v>
      </c>
      <c r="D14" s="1" t="str">
        <f>IF(
    C14 = "",
    "",
    IF(
        C14 = "API管理",
        "-",
        VLOOKUP(
            C14,
            'Container Service'!$B$2:$F$100,
            4,
            FALSE
        )
    )
)</f>
        <v>-</v>
      </c>
      <c r="E14" s="1"/>
      <c r="F14" s="77" t="s">
        <v>230</v>
      </c>
      <c r="G14" s="5" t="s">
        <v>230</v>
      </c>
      <c r="H14" s="5" t="s">
        <v>230</v>
      </c>
      <c r="I14" s="5" t="s">
        <v>230</v>
      </c>
      <c r="J14" s="1" t="s">
        <v>193</v>
      </c>
      <c r="K14" s="1" t="str">
        <f t="shared" ref="K14" si="48">IF(C14="",
    "",
    LOWER(
        SUBSTITUTE(
            SUBSTITUTE(
                G14 &amp; "-" &amp; BJ14 &amp; BK14 &amp; BL14 &amp; BM14 &amp; BN14 &amp; BO14 &amp; BP14 &amp; "-ingress",
                " ",
                ""
            ),
            "_",
            "-"
        )
    )
)</f>
        <v>reflectl1partbyev6-23-ingress</v>
      </c>
      <c r="L14" s="1" t="s">
        <v>26</v>
      </c>
      <c r="M14" s="3"/>
      <c r="N14" s="3"/>
      <c r="O14" s="1" t="str">
        <f t="shared" ref="O14" si="49">IF(
    C14 = "",
    "",
    SUBSTITUTE(
        LOWER(
            IF(
                M14 = "",
                L14 &amp; "-acl",
                IF(
                    N14 = "",
                    L14 &amp; "-" &amp; M14 &amp; "-acl",
                    L14 &amp; "-" &amp; M14 &amp; "-" &amp; N14 &amp; "-acl"
                )
            )
        ),
        "_",
        "-"
    )
)</f>
        <v>vmc-step2-bom-acl</v>
      </c>
      <c r="P14" s="60" t="str">
        <f t="shared" ref="P14" si="50">IF(C14="",
    "",
    LOWER(
        SUBSTITUTE(
            SUBSTITUTE(
                G14 &amp; "-rewrite-path",
                " ",
                ""
            ),
            "_",
            "-"
        )
    )
)</f>
        <v>reflectl1partbyev6-rewrite-path</v>
      </c>
      <c r="Q14" s="4" t="str">
        <f t="shared" ref="Q14" si="51">IF(
    C14 = "",
    "",
    IF(
        C14 = "API管理",
        IF(
            AO14 &lt;&gt; "",
            "/" &amp; AO14 &amp; "/" &amp; I14,
            "/" &amp; I14
        ),
        IF(
            D14 &lt;&gt; "-",
            "/" &amp; D14 &amp; "/" &amp; I14,
            "/" &amp; I14
        )
    )
)</f>
        <v>/ReflectL1PartbyEV6</v>
      </c>
      <c r="R14" s="4" t="str">
        <f t="shared" ref="R14" si="52">IF(
    C14 = "",
    "",
    IF(
        C14 = "API管理",
        IF(
            AP14 &lt;&gt; "",
            "/" &amp; AP14 &amp; "/" &amp; I14,
            "/" &amp; I14
        ),
        IF(
            D14 &lt;&gt; "-",
            "/" &amp; D14 &amp; "/" &amp; I14,
            "/" &amp; I14
        )
    )
)</f>
        <v>/ReflectL1PartbyEV6</v>
      </c>
      <c r="S14" s="4" t="str">
        <f t="shared" ref="S14" si="53">IF(
    C14 = "",
    "",
    IF(
        C14 = "API管理",
        IF(
            AQ14 &lt;&gt; "",
            "/" &amp; AQ14 &amp; "/" &amp; I14,
            "/" &amp; I14
        ),
        IF(
            D14 &lt;&gt; "-",
            "/" &amp; D14 &amp; "/" &amp; I14,
            "/" &amp; I14
        )
    )
)</f>
        <v>/ReflectL1PartbyEV6</v>
      </c>
      <c r="T14" s="4" t="str">
        <f t="shared" ref="T14" si="54">IF(
    C14 = "",
    "",
    IF(
        C14 = "API管理",
        IF(
            AR14 &lt;&gt; "",
            "/" &amp; AR14 &amp; "/" &amp; I14,
            "/" &amp; I14
        ),
        IF(
            D14 &lt;&gt; "-",
            "/" &amp; D14 &amp; "/" &amp; I14,
            "/" &amp; I14
        )
    )
)</f>
        <v>/ReflectL1PartbyEV6</v>
      </c>
      <c r="U14" s="4" t="str">
        <f>IF(
    C14 = "",
    "",
    IF(
        C14 = "API管理",
        AB14,
        VLOOKUP(
            C14,
            'Container Service'!$B$3:$F$100,
            5,
            FALSE
        )
    )
)</f>
        <v>vmcbom-services-public-rex-apiv1</v>
      </c>
      <c r="V14" s="4">
        <f>IF(
    C14 = "",
    "",
    IF(
        C14 = "API管理",
        IF(
            AND(
                AG14 = AH14,
                AH14 = AI14,
                AI14 = AJ14
            ),
            AG14,
            "External Service Portの列に依存"
        ),
        VLOOKUP(
            C14,
            'Container Service'!$B$3:$G$100,
            6,
            FALSE
        )
    )
)</f>
        <v>80</v>
      </c>
      <c r="W14" s="4" t="str">
        <f>IF(OR(ISBLANK(H14),H14="-"),"-",IF(H14&lt;&gt;I14,Config!$C$6&amp;Config!$C$10&amp;H14,Config!$C$6&amp;Config!$C$10&amp;H14))</f>
        <v>/vmcbom/v1/ReflectL1PartbyEV6</v>
      </c>
      <c r="X14" s="4" t="str">
        <f>IF(OR(ISBLANK(H14),H14="-"),"-",IF(H14&lt;&gt;I14,Config!$C$7&amp;Config!$C$10&amp;H14,Config!$C$7&amp;Config!$C$10&amp;H14))</f>
        <v>/blue/vmcbom/v1/ReflectL1PartbyEV6</v>
      </c>
      <c r="Y14" s="4" t="str">
        <f>IF(OR(ISBLANK(H14),H14="-"),"-",IF(H14&lt;&gt;I14,Config!$C$8&amp;Config!$C$10&amp;H14,Config!$C$8&amp;Config!$C$10&amp;H14))</f>
        <v>/yellow/vmcbom/v1/ReflectL1PartbyEV6</v>
      </c>
      <c r="Z14" s="4" t="str">
        <f>IF(OR(ISBLANK(H14),H14="-"),"-",IF(H14&lt;&gt;I14,Config!$C$9&amp;Config!$C$10&amp;H14,Config!$C$9&amp;Config!$C$10&amp;H14))</f>
        <v>/vmcbom/v1/ReflectL1PartbyEV6</v>
      </c>
      <c r="AA14" s="1"/>
      <c r="AB14" s="1" t="str">
        <f t="shared" ref="AB14" si="55">SUBSTITUTE(LOWER(IF(AA14="","","path-through-"&amp;AA14&amp;"-service")),"_","-")</f>
        <v/>
      </c>
      <c r="AC14" s="46"/>
      <c r="AD14" s="46"/>
      <c r="AE14" s="46"/>
      <c r="AF14" s="46"/>
      <c r="AG14" s="4"/>
      <c r="AH14" s="4"/>
      <c r="AI14" s="4"/>
      <c r="AJ14" s="4"/>
      <c r="AK14" s="1"/>
      <c r="AL14" s="1"/>
      <c r="AM14" s="1"/>
      <c r="AN14" s="1"/>
      <c r="AO14" s="1"/>
      <c r="AP14" s="1"/>
      <c r="AQ14" s="1"/>
      <c r="AR14" s="1"/>
      <c r="AS14" s="1" t="s">
        <v>0</v>
      </c>
      <c r="AT14" s="4" t="s">
        <v>0</v>
      </c>
      <c r="AU14" s="4" t="s">
        <v>0</v>
      </c>
      <c r="AV14" s="4" t="s">
        <v>0</v>
      </c>
      <c r="AW14" s="4" t="s">
        <v>0</v>
      </c>
      <c r="AX14" s="4" t="s">
        <v>0</v>
      </c>
      <c r="AY14" s="4" t="s">
        <v>0</v>
      </c>
      <c r="AZ14" s="4" t="s">
        <v>0</v>
      </c>
      <c r="BA14" s="4" t="s">
        <v>0</v>
      </c>
      <c r="BB14" s="4" t="s">
        <v>0</v>
      </c>
      <c r="BC14" s="4" t="s">
        <v>0</v>
      </c>
      <c r="BD14" s="4" t="s">
        <v>0</v>
      </c>
      <c r="BE14" s="4" t="s">
        <v>0</v>
      </c>
      <c r="BF14" s="1" t="str">
        <f t="shared" ref="BF14" si="56">IF(
    C14 = "",
    "",
    LOWER(
        SUBSTITUTE(
            SUBSTITUTE(
                G14 &amp; "-rewrite-path.yaml",
                " ",
                ""
            ),
            "_",
            "-"
        )
    )
)</f>
        <v>reflectl1partbyev6-rewrite-path.yaml</v>
      </c>
      <c r="BG14" s="1" t="str">
        <f t="shared" ref="BG14" si="57">IF(
    C14 = "",
    "",
    LOWER(
        SUBSTITUTE(
            SUBSTITUTE(
                G14 &amp; "-" &amp; BJ14 &amp; BK14 &amp; BL14 &amp; BM14 &amp; BN14 &amp; BO14 &amp; BP14 &amp; "-ingress.yaml",
                " ",
                ""
            ),
            "_",
            "-"
        )
    )
)</f>
        <v>reflectl1partbyev6-23-ingress.yaml</v>
      </c>
      <c r="BH14" s="1" t="str">
        <f t="shared" ref="BH14" si="58">SUBSTITUTE(LOWER(IF(AA14="","","path-through-"&amp;AA14&amp;"-service.yaml")),"_","-")</f>
        <v/>
      </c>
      <c r="BI14" s="4" t="str">
        <f t="shared" ref="BI14" si="59">SUBSTITUTE(LOWER(IF(AS14="-","",AS14&amp;".yaml")),"_","-")</f>
        <v/>
      </c>
      <c r="BJ14" s="6" t="str">
        <f>IF(C14="","",IF(COUNTIF(O$9:O14,O14)=1,"1",""))</f>
        <v/>
      </c>
      <c r="BK14" s="42" t="str">
        <f>IF(
    C14 = "",
    "",
    IF(
        COUNTIF(
            P$9:P14,
            P14
        ) &gt;= 1,
        "2",
        ""
    )
)</f>
        <v>2</v>
      </c>
      <c r="BL14" s="6" t="str">
        <f t="shared" ref="BL14" si="60">IF(
    C14 = "",
    "",
    IF(
        C14 &lt;&gt; "API管理",
        IF(
            AS14 = "-",
            "3",
            ""
        ),
        ""
    )
)</f>
        <v>3</v>
      </c>
      <c r="BM14" s="6" t="str">
        <f>IF(
    C14 = "",
    "",
    IF(
        C14 &lt;&gt; "API管理",
        IF(
            AS14 = "-",
            "",
            IF(
                COUNTIF(
                    BI$9:BI14,
                    BI14
                ) = 1,
                "4-1",
                "4-2"
            )
        ),
        ""
    )
)</f>
        <v/>
      </c>
      <c r="BN14" s="6" t="str">
        <f>IF(
    C14 = "",
    "",
    IF(
        C14 &lt;&gt; "API管理",
        "",
        IF(
            AS14 = "-",
            IF(
                COUNTIF(
                    BH$9:BH14,
                    BH14
                ) = 1,
                "5-1",
                "5-2"
            ),
            ""
        )
    )
)</f>
        <v/>
      </c>
      <c r="BO14" s="6" t="str">
        <f>IF(
    C14 = "",
    "",
    IF(
        C14 &lt;&gt; "API管理",
        "",
        IF(
            AS14 = "-",
            "",
                IF(
                    COUNTIF(
                        BH$9:BH14,
                        BH14
                    ) = 1,
                    IF(
                        COUNTIF(
                            BI$9:BI14,
                            BI14
                        ) = 1,
                        "6-1",
                        "6-3"
                    ),
                    IF(
                        COUNTIF(
                            BI$9:BI14,
                            BI14
                        ) = 1,
                        "6-2",
                        "6-4"
                    )
            )
        )
    )
)</f>
        <v/>
      </c>
      <c r="BP14" s="6"/>
      <c r="BQ14" s="49">
        <v>45581</v>
      </c>
      <c r="BR14" s="32" t="s">
        <v>157</v>
      </c>
      <c r="BS14" s="30"/>
      <c r="BT14" s="30"/>
      <c r="BU14" s="30"/>
      <c r="BV14" s="48"/>
      <c r="BW14" s="27" t="str">
        <f>IF(OR(ISBLANK(H14),H14="-"),"URLが入力されていません","https://"&amp;Config!$C$2&amp;Config!$C$6&amp;Config!$C$10&amp;H14)</f>
        <v>https://vmc-osb.hm.jp.honda.com/vmcbom/v1/ReflectL1PartbyEV6</v>
      </c>
      <c r="BX14" s="27" t="str">
        <f t="shared" ref="BX14" si="61">IF(
    OR(
        I14 = "",
        I14 = "-"
    ),
    "URLが入力されていません",
    IF(
        C14 = "API管理",
        IF(
            AO14 = "",
AC14 &amp; "://" &amp; AK14 &amp; ":" &amp; AG14 &amp; "/" &amp; I14,
AC14 &amp; "://" &amp; AK14 &amp; ":" &amp; AG14 &amp; "/" &amp; AO14 &amp; "/" &amp; I14
        ),
        IF(
            D14 = "-",
            "http://{worker-node}:{NodePort}/" &amp; I14,
            "http://{worker-node}:{NodePort}/" &amp; D14 &amp; "/" &amp; I14
        )
    )
)</f>
        <v>http://{worker-node}:{NodePort}/ReflectL1PartbyEV6</v>
      </c>
      <c r="BY14" s="27" t="str">
        <f>IF(OR(ISBLANK(H14),H14="-"),"URLが入力されていません","https://"&amp;Config!$C$3&amp;Config!$C$7&amp;Config!$C$10&amp;H14)</f>
        <v>https://vmc-osb-qa.hm.jp.honda.com/blue/vmcbom/v1/ReflectL1PartbyEV6</v>
      </c>
      <c r="BZ14" s="27" t="str">
        <f t="shared" ref="BZ14" si="62">IF(
    OR(
        I14 = "",
        I14 = "-"
    ),
    "URLが入力されていません",
    IF(
        C14 = "API管理",
        IF(
            AO14 = "",
AD14 &amp; "://" &amp; AL14 &amp; ":" &amp; AH14 &amp; "/" &amp; I14,
AD14 &amp; "://" &amp; AL14 &amp; ":" &amp; AH14 &amp; "/" &amp; AP14 &amp; "/" &amp; I14
        ),
        IF(
            D14 = "-",
            "http://{worker-node}:{NodePort}/" &amp; I14,
            "http://{worker-node}:{NodePort}/" &amp; D14 &amp; "/" &amp; I14
        )
    )
)</f>
        <v>http://{worker-node}:{NodePort}/ReflectL1PartbyEV6</v>
      </c>
      <c r="CA14" s="27" t="str">
        <f>IF(OR(ISBLANK(H14),H14="-"),"URLが入力されていません","https://"&amp;Config!$C$4&amp;Config!$C$8&amp;Config!$C$10&amp;H14)</f>
        <v>https://vmc-osb-itb.hm.jp.honda.com/yellow/vmcbom/v1/ReflectL1PartbyEV6</v>
      </c>
      <c r="CB14" s="27" t="str">
        <f t="shared" ref="CB14" si="63">IF(
    OR(
        I14 = "",
        I14 = "-"
    ),
    "URLが入力されていません",
    IF(
        C14 = "API管理",
        IF(
            AO14 = "",
AE14 &amp; "://" &amp; AM14 &amp; ":" &amp; AI14 &amp; "/" &amp; I14,
AE14 &amp; "://" &amp; AM14 &amp; ":" &amp; AI14 &amp; "/" &amp; AQ14 &amp; "/" &amp; I14
        ),
        IF(
            D14 = "-",
            "http://{worker-node}:{NodePort}/" &amp; I14,
            "http://{worker-node}:{NodePort}/" &amp; D14 &amp; "/" &amp; I14
        )
    )
)</f>
        <v>http://{worker-node}:{NodePort}/ReflectL1PartbyEV6</v>
      </c>
      <c r="CC14" s="27" t="str">
        <f>IF(OR(ISBLANK(H14),H14="-"),"URLが入力されていません","https://"&amp;Config!$C$5&amp;Config!$C$9&amp;Config!$C$10&amp;H14)</f>
        <v>https://vpr-sv-aws101.aws.t.rd.honda.com/vmcbom/v1/ReflectL1PartbyEV6</v>
      </c>
      <c r="CD14" s="27" t="str">
        <f t="shared" ref="CD14" si="64">IF(
    OR(
        I14 = "",
        I14 = "-"
    ),
    "URLが入力されていません",
    IF(
        C14 = "API管理",
        IF(
            AO14 = "",
AF14 &amp; "://" &amp; AN14 &amp; ":" &amp; AJ14 &amp; "/" &amp; I14,
AF14 &amp; "://" &amp; AN14 &amp; ":" &amp; AJ14 &amp; "/" &amp; AR14 &amp; "/" &amp; I14
        ),
        IF(
            D14 = "-",
            "http://{worker-node}:{NodePort}/" &amp; I14,
            "http://{worker-node}:{NodePort}/" &amp; D14 &amp; "/" &amp; I14
        )
    )
)</f>
        <v>http://{worker-node}:{NodePort}/ReflectL1PartbyEV6</v>
      </c>
      <c r="CE14" s="49"/>
      <c r="CF14" s="32"/>
      <c r="CG14" s="30" t="s">
        <v>158</v>
      </c>
    </row>
    <row r="15" spans="1:86" ht="15.6" customHeight="1" x14ac:dyDescent="0.3">
      <c r="A15" s="78" t="s">
        <v>234</v>
      </c>
      <c r="B15" s="62" t="s">
        <v>227</v>
      </c>
      <c r="C15" s="62" t="s">
        <v>223</v>
      </c>
      <c r="D15" s="1" t="str">
        <f>IF(
    C15 = "",
    "",
    IF(
        C15 = "API管理",
        "-",
        VLOOKUP(
            C15,
            'Container Service'!$B$2:$F$100,
            4,
            FALSE
        )
    )
)</f>
        <v>-</v>
      </c>
      <c r="E15" s="1"/>
      <c r="F15" s="77" t="s">
        <v>231</v>
      </c>
      <c r="G15" s="5" t="s">
        <v>231</v>
      </c>
      <c r="H15" s="5" t="s">
        <v>231</v>
      </c>
      <c r="I15" s="5" t="s">
        <v>231</v>
      </c>
      <c r="J15" s="1" t="s">
        <v>188</v>
      </c>
      <c r="K15" s="1" t="str">
        <f t="shared" si="34"/>
        <v>reflectsubsecbyev6-23-ingress</v>
      </c>
      <c r="L15" s="1" t="s">
        <v>26</v>
      </c>
      <c r="M15" s="3"/>
      <c r="N15" s="3"/>
      <c r="O15" s="1" t="str">
        <f t="shared" si="35"/>
        <v>vmc-step2-bom-acl</v>
      </c>
      <c r="P15" s="60" t="str">
        <f t="shared" si="36"/>
        <v>reflectsubsecbyev6-rewrite-path</v>
      </c>
      <c r="Q15" s="4" t="str">
        <f t="shared" si="37"/>
        <v>/ReflectSubSecbyEV6</v>
      </c>
      <c r="R15" s="4" t="str">
        <f t="shared" si="38"/>
        <v>/ReflectSubSecbyEV6</v>
      </c>
      <c r="S15" s="4" t="str">
        <f t="shared" si="39"/>
        <v>/ReflectSubSecbyEV6</v>
      </c>
      <c r="T15" s="4" t="str">
        <f t="shared" si="40"/>
        <v>/ReflectSubSecbyEV6</v>
      </c>
      <c r="U15" s="4" t="str">
        <f>IF(
    C15 = "",
    "",
    IF(
        C15 = "API管理",
        AB15,
        VLOOKUP(
            C15,
            'Container Service'!$B$3:$F$100,
            5,
            FALSE
        )
    )
)</f>
        <v>vmcbom-services-public-rex-apiv1</v>
      </c>
      <c r="V15" s="4">
        <f>IF(
    C15 = "",
    "",
    IF(
        C15 = "API管理",
        IF(
            AND(
                AG15 = AH15,
                AH15 = AI15,
                AI15 = AJ15
            ),
            AG15,
            "External Service Portの列に依存"
        ),
        VLOOKUP(
            C15,
            'Container Service'!$B$3:$G$100,
            6,
            FALSE
        )
    )
)</f>
        <v>80</v>
      </c>
      <c r="W15" s="4" t="str">
        <f>IF(OR(ISBLANK(H15),H15="-"),"-",IF(H15&lt;&gt;I15,Config!$C$6&amp;Config!$C$10&amp;H15,Config!$C$6&amp;Config!$C$10&amp;H15))</f>
        <v>/vmcbom/v1/ReflectSubSecbyEV6</v>
      </c>
      <c r="X15" s="4" t="str">
        <f>IF(OR(ISBLANK(H15),H15="-"),"-",IF(H15&lt;&gt;I15,Config!$C$7&amp;Config!$C$10&amp;H15,Config!$C$7&amp;Config!$C$10&amp;H15))</f>
        <v>/blue/vmcbom/v1/ReflectSubSecbyEV6</v>
      </c>
      <c r="Y15" s="4" t="str">
        <f>IF(OR(ISBLANK(H15),H15="-"),"-",IF(H15&lt;&gt;I15,Config!$C$8&amp;Config!$C$10&amp;H15,Config!$C$8&amp;Config!$C$10&amp;H15))</f>
        <v>/yellow/vmcbom/v1/ReflectSubSecbyEV6</v>
      </c>
      <c r="Z15" s="4" t="str">
        <f>IF(OR(ISBLANK(H15),H15="-"),"-",IF(H15&lt;&gt;I15,Config!$C$9&amp;Config!$C$10&amp;H15,Config!$C$9&amp;Config!$C$10&amp;H15))</f>
        <v>/vmcbom/v1/ReflectSubSecbyEV6</v>
      </c>
      <c r="AA15" s="1"/>
      <c r="AB15" s="1" t="str">
        <f t="shared" si="41"/>
        <v/>
      </c>
      <c r="AC15" s="46"/>
      <c r="AD15" s="46"/>
      <c r="AE15" s="46"/>
      <c r="AF15" s="46"/>
      <c r="AG15" s="4"/>
      <c r="AH15" s="4"/>
      <c r="AI15" s="4"/>
      <c r="AJ15" s="4"/>
      <c r="AK15" s="1"/>
      <c r="AL15" s="1"/>
      <c r="AM15" s="1"/>
      <c r="AN15" s="1"/>
      <c r="AO15" s="1"/>
      <c r="AP15" s="1"/>
      <c r="AQ15" s="1"/>
      <c r="AR15" s="1"/>
      <c r="AS15" s="1" t="s">
        <v>0</v>
      </c>
      <c r="AT15" s="4" t="s">
        <v>0</v>
      </c>
      <c r="AU15" s="4" t="s">
        <v>0</v>
      </c>
      <c r="AV15" s="4" t="s">
        <v>0</v>
      </c>
      <c r="AW15" s="4" t="s">
        <v>0</v>
      </c>
      <c r="AX15" s="4" t="s">
        <v>0</v>
      </c>
      <c r="AY15" s="4" t="s">
        <v>0</v>
      </c>
      <c r="AZ15" s="4" t="s">
        <v>0</v>
      </c>
      <c r="BA15" s="4" t="s">
        <v>0</v>
      </c>
      <c r="BB15" s="4" t="s">
        <v>0</v>
      </c>
      <c r="BC15" s="4" t="s">
        <v>0</v>
      </c>
      <c r="BD15" s="4" t="s">
        <v>0</v>
      </c>
      <c r="BE15" s="4" t="s">
        <v>0</v>
      </c>
      <c r="BF15" s="1" t="str">
        <f t="shared" si="8"/>
        <v>reflectsubsecbyev6-rewrite-path.yaml</v>
      </c>
      <c r="BG15" s="1" t="str">
        <f t="shared" si="9"/>
        <v>reflectsubsecbyev6-23-ingress.yaml</v>
      </c>
      <c r="BH15" s="1" t="str">
        <f t="shared" si="42"/>
        <v/>
      </c>
      <c r="BI15" s="4" t="str">
        <f t="shared" si="43"/>
        <v/>
      </c>
      <c r="BJ15" s="6" t="str">
        <f>IF(C15="","",IF(COUNTIF(O$9:O15,O15)=1,"1",""))</f>
        <v/>
      </c>
      <c r="BK15" s="42" t="str">
        <f>IF(
    C15 = "",
    "",
    IF(
        COUNTIF(
            P$9:P15,
            P15
        ) &gt;= 1,
        "2",
        ""
    )
)</f>
        <v>2</v>
      </c>
      <c r="BL15" s="6" t="str">
        <f t="shared" si="12"/>
        <v>3</v>
      </c>
      <c r="BM15" s="6" t="str">
        <f>IF(
    C15 = "",
    "",
    IF(
        C15 &lt;&gt; "API管理",
        IF(
            AS15 = "-",
            "",
            IF(
                COUNTIF(
                    BI$9:BI15,
                    BI15
                ) = 1,
                "4-1",
                "4-2"
            )
        ),
        ""
    )
)</f>
        <v/>
      </c>
      <c r="BN15" s="6" t="str">
        <f>IF(
    C15 = "",
    "",
    IF(
        C15 &lt;&gt; "API管理",
        "",
        IF(
            AS15 = "-",
            IF(
                COUNTIF(
                    BH$9:BH15,
                    BH15
                ) = 1,
                "5-1",
                "5-2"
            ),
            ""
        )
    )
)</f>
        <v/>
      </c>
      <c r="BO15" s="6" t="str">
        <f>IF(
    C15 = "",
    "",
    IF(
        C15 &lt;&gt; "API管理",
        "",
        IF(
            AS15 = "-",
            "",
                IF(
                    COUNTIF(
                        BH$9:BH15,
                        BH15
                    ) = 1,
                    IF(
                        COUNTIF(
                            BI$9:BI15,
                            BI15
                        ) = 1,
                        "6-1",
                        "6-3"
                    ),
                    IF(
                        COUNTIF(
                            BI$9:BI15,
                            BI15
                        ) = 1,
                        "6-2",
                        "6-4"
                    )
            )
        )
    )
)</f>
        <v/>
      </c>
      <c r="BP15" s="6"/>
      <c r="BQ15" s="49">
        <v>45581</v>
      </c>
      <c r="BR15" s="32" t="s">
        <v>157</v>
      </c>
      <c r="BS15" s="30"/>
      <c r="BT15" s="30"/>
      <c r="BU15" s="30"/>
      <c r="BV15" s="48"/>
      <c r="BW15" s="27" t="str">
        <f>IF(OR(ISBLANK(H15),H15="-"),"URLが入力されていません","https://"&amp;Config!$C$2&amp;Config!$C$6&amp;Config!$C$10&amp;H15)</f>
        <v>https://vmc-osb.hm.jp.honda.com/vmcbom/v1/ReflectSubSecbyEV6</v>
      </c>
      <c r="BX15" s="27" t="str">
        <f t="shared" si="44"/>
        <v>http://{worker-node}:{NodePort}/ReflectSubSecbyEV6</v>
      </c>
      <c r="BY15" s="27" t="str">
        <f>IF(OR(ISBLANK(H15),H15="-"),"URLが入力されていません","https://"&amp;Config!$C$3&amp;Config!$C$7&amp;Config!$C$10&amp;H15)</f>
        <v>https://vmc-osb-qa.hm.jp.honda.com/blue/vmcbom/v1/ReflectSubSecbyEV6</v>
      </c>
      <c r="BZ15" s="27" t="str">
        <f t="shared" si="45"/>
        <v>http://{worker-node}:{NodePort}/ReflectSubSecbyEV6</v>
      </c>
      <c r="CA15" s="27" t="str">
        <f>IF(OR(ISBLANK(H15),H15="-"),"URLが入力されていません","https://"&amp;Config!$C$4&amp;Config!$C$8&amp;Config!$C$10&amp;H15)</f>
        <v>https://vmc-osb-itb.hm.jp.honda.com/yellow/vmcbom/v1/ReflectSubSecbyEV6</v>
      </c>
      <c r="CB15" s="27" t="str">
        <f t="shared" si="46"/>
        <v>http://{worker-node}:{NodePort}/ReflectSubSecbyEV6</v>
      </c>
      <c r="CC15" s="27" t="str">
        <f>IF(OR(ISBLANK(H15),H15="-"),"URLが入力されていません","https://"&amp;Config!$C$5&amp;Config!$C$9&amp;Config!$C$10&amp;H15)</f>
        <v>https://vpr-sv-aws101.aws.t.rd.honda.com/vmcbom/v1/ReflectSubSecbyEV6</v>
      </c>
      <c r="CD15" s="27" t="str">
        <f t="shared" si="47"/>
        <v>http://{worker-node}:{NodePort}/ReflectSubSecbyEV6</v>
      </c>
      <c r="CE15" s="49"/>
      <c r="CF15" s="32"/>
      <c r="CG15" s="30" t="s">
        <v>158</v>
      </c>
    </row>
    <row r="16" spans="1:86" ht="15.6" customHeight="1" x14ac:dyDescent="0.3">
      <c r="A16" s="78" t="s">
        <v>234</v>
      </c>
      <c r="B16" s="62" t="s">
        <v>227</v>
      </c>
      <c r="C16" s="62" t="s">
        <v>223</v>
      </c>
      <c r="D16" s="1" t="str">
        <f>IF(
    C16 = "",
    "",
    IF(
        C16 = "API管理",
        "-",
        VLOOKUP(
            C16,
            'Container Service'!$B$2:$F$100,
            4,
            FALSE
        )
    )
)</f>
        <v>-</v>
      </c>
      <c r="E16" s="1"/>
      <c r="F16" s="77" t="s">
        <v>237</v>
      </c>
      <c r="G16" s="5" t="s">
        <v>237</v>
      </c>
      <c r="H16" s="5" t="s">
        <v>237</v>
      </c>
      <c r="I16" s="5" t="s">
        <v>237</v>
      </c>
      <c r="J16" s="1" t="s">
        <v>193</v>
      </c>
      <c r="K16" s="1" t="str">
        <f t="shared" si="34"/>
        <v>getpartswithswproperty-23-ingress</v>
      </c>
      <c r="L16" s="1" t="s">
        <v>26</v>
      </c>
      <c r="M16" s="3"/>
      <c r="N16" s="3"/>
      <c r="O16" s="1" t="str">
        <f t="shared" si="35"/>
        <v>vmc-step2-bom-acl</v>
      </c>
      <c r="P16" s="60" t="str">
        <f t="shared" si="36"/>
        <v>getpartswithswproperty-rewrite-path</v>
      </c>
      <c r="Q16" s="4" t="str">
        <f t="shared" si="37"/>
        <v>/GetPartsWithSWProperty</v>
      </c>
      <c r="R16" s="4" t="str">
        <f t="shared" si="38"/>
        <v>/GetPartsWithSWProperty</v>
      </c>
      <c r="S16" s="4" t="str">
        <f t="shared" si="39"/>
        <v>/GetPartsWithSWProperty</v>
      </c>
      <c r="T16" s="4" t="str">
        <f t="shared" si="40"/>
        <v>/GetPartsWithSWProperty</v>
      </c>
      <c r="U16" s="4" t="str">
        <f>IF(
    C16 = "",
    "",
    IF(
        C16 = "API管理",
        AB16,
        VLOOKUP(
            C16,
            'Container Service'!$B$3:$F$100,
            5,
            FALSE
        )
    )
)</f>
        <v>vmcbom-services-public-rex-apiv1</v>
      </c>
      <c r="V16" s="4">
        <f>IF(
    C16 = "",
    "",
    IF(
        C16 = "API管理",
        IF(
            AND(
                AG16 = AH16,
                AH16 = AI16,
                AI16 = AJ16
            ),
            AG16,
            "External Service Portの列に依存"
        ),
        VLOOKUP(
            C16,
            'Container Service'!$B$3:$G$100,
            6,
            FALSE
        )
    )
)</f>
        <v>80</v>
      </c>
      <c r="W16" s="4" t="str">
        <f>IF(OR(ISBLANK(H16),H16="-"),"-",IF(H16&lt;&gt;I16,Config!$C$6&amp;Config!$C$10&amp;H16,Config!$C$6&amp;Config!$C$10&amp;H16))</f>
        <v>/vmcbom/v1/GetPartsWithSWProperty</v>
      </c>
      <c r="X16" s="4" t="str">
        <f>IF(OR(ISBLANK(H16),H16="-"),"-",IF(H16&lt;&gt;I16,Config!$C$7&amp;Config!$C$10&amp;H16,Config!$C$7&amp;Config!$C$10&amp;H16))</f>
        <v>/blue/vmcbom/v1/GetPartsWithSWProperty</v>
      </c>
      <c r="Y16" s="4" t="str">
        <f>IF(OR(ISBLANK(H16),H16="-"),"-",IF(H16&lt;&gt;I16,Config!$C$8&amp;Config!$C$10&amp;H16,Config!$C$8&amp;Config!$C$10&amp;H16))</f>
        <v>/yellow/vmcbom/v1/GetPartsWithSWProperty</v>
      </c>
      <c r="Z16" s="4" t="str">
        <f>IF(OR(ISBLANK(H16),H16="-"),"-",IF(H16&lt;&gt;I16,Config!$C$9&amp;Config!$C$10&amp;H16,Config!$C$9&amp;Config!$C$10&amp;H16))</f>
        <v>/vmcbom/v1/GetPartsWithSWProperty</v>
      </c>
      <c r="AA16" s="1"/>
      <c r="AB16" s="1" t="str">
        <f t="shared" si="41"/>
        <v/>
      </c>
      <c r="AC16" s="46"/>
      <c r="AD16" s="46"/>
      <c r="AE16" s="46"/>
      <c r="AF16" s="46"/>
      <c r="AG16" s="4"/>
      <c r="AH16" s="4"/>
      <c r="AI16" s="4"/>
      <c r="AJ16" s="4"/>
      <c r="AK16" s="1"/>
      <c r="AL16" s="1"/>
      <c r="AM16" s="1"/>
      <c r="AN16" s="1"/>
      <c r="AO16" s="1"/>
      <c r="AP16" s="1"/>
      <c r="AQ16" s="1"/>
      <c r="AR16" s="1"/>
      <c r="AS16" s="1" t="s">
        <v>0</v>
      </c>
      <c r="AT16" s="4" t="s">
        <v>0</v>
      </c>
      <c r="AU16" s="4" t="s">
        <v>0</v>
      </c>
      <c r="AV16" s="4" t="s">
        <v>0</v>
      </c>
      <c r="AW16" s="4" t="s">
        <v>0</v>
      </c>
      <c r="AX16" s="4" t="s">
        <v>0</v>
      </c>
      <c r="AY16" s="4" t="s">
        <v>0</v>
      </c>
      <c r="AZ16" s="4" t="s">
        <v>0</v>
      </c>
      <c r="BA16" s="4" t="s">
        <v>0</v>
      </c>
      <c r="BB16" s="4" t="s">
        <v>0</v>
      </c>
      <c r="BC16" s="4" t="s">
        <v>0</v>
      </c>
      <c r="BD16" s="4" t="s">
        <v>0</v>
      </c>
      <c r="BE16" s="4" t="s">
        <v>0</v>
      </c>
      <c r="BF16" s="1" t="str">
        <f t="shared" si="8"/>
        <v>getpartswithswproperty-rewrite-path.yaml</v>
      </c>
      <c r="BG16" s="1" t="str">
        <f t="shared" si="9"/>
        <v>getpartswithswproperty-23-ingress.yaml</v>
      </c>
      <c r="BH16" s="1" t="str">
        <f t="shared" si="42"/>
        <v/>
      </c>
      <c r="BI16" s="4" t="str">
        <f t="shared" si="43"/>
        <v/>
      </c>
      <c r="BJ16" s="6" t="str">
        <f>IF(C16="","",IF(COUNTIF(O$9:O16,O16)=1,"1",""))</f>
        <v/>
      </c>
      <c r="BK16" s="42" t="str">
        <f>IF(
    C16 = "",
    "",
    IF(
        COUNTIF(
            P$9:P16,
            P16
        ) &gt;= 1,
        "2",
        ""
    )
)</f>
        <v>2</v>
      </c>
      <c r="BL16" s="6" t="str">
        <f t="shared" si="12"/>
        <v>3</v>
      </c>
      <c r="BM16" s="6" t="str">
        <f>IF(
    C16 = "",
    "",
    IF(
        C16 &lt;&gt; "API管理",
        IF(
            AS16 = "-",
            "",
            IF(
                COUNTIF(
                    BI$9:BI16,
                    BI16
                ) = 1,
                "4-1",
                "4-2"
            )
        ),
        ""
    )
)</f>
        <v/>
      </c>
      <c r="BN16" s="6" t="str">
        <f>IF(
    C16 = "",
    "",
    IF(
        C16 &lt;&gt; "API管理",
        "",
        IF(
            AS16 = "-",
            IF(
                COUNTIF(
                    BH$9:BH16,
                    BH16
                ) = 1,
                "5-1",
                "5-2"
            ),
            ""
        )
    )
)</f>
        <v/>
      </c>
      <c r="BO16" s="6" t="str">
        <f>IF(
    C16 = "",
    "",
    IF(
        C16 &lt;&gt; "API管理",
        "",
        IF(
            AS16 = "-",
            "",
                IF(
                    COUNTIF(
                        BH$9:BH16,
                        BH16
                    ) = 1,
                    IF(
                        COUNTIF(
                            BI$9:BI16,
                            BI16
                        ) = 1,
                        "6-1",
                        "6-3"
                    ),
                    IF(
                        COUNTIF(
                            BI$9:BI16,
                            BI16
                        ) = 1,
                        "6-2",
                        "6-4"
                    )
            )
        )
    )
)</f>
        <v/>
      </c>
      <c r="BP16" s="6"/>
      <c r="BQ16" s="49">
        <v>45617</v>
      </c>
      <c r="BR16" s="32" t="s">
        <v>157</v>
      </c>
      <c r="BS16" s="30" t="s">
        <v>212</v>
      </c>
      <c r="BT16" s="30" t="s">
        <v>212</v>
      </c>
      <c r="BU16" s="30" t="s">
        <v>212</v>
      </c>
      <c r="BV16" s="48" t="s">
        <v>212</v>
      </c>
      <c r="BW16" s="27" t="str">
        <f>IF(OR(ISBLANK(H16),H16="-"),"URLが入力されていません","https://"&amp;Config!$C$2&amp;Config!$C$6&amp;Config!$C$10&amp;H16)</f>
        <v>https://vmc-osb.hm.jp.honda.com/vmcbom/v1/GetPartsWithSWProperty</v>
      </c>
      <c r="BX16" s="27" t="str">
        <f t="shared" si="44"/>
        <v>http://{worker-node}:{NodePort}/GetPartsWithSWProperty</v>
      </c>
      <c r="BY16" s="27" t="str">
        <f>IF(OR(ISBLANK(H16),H16="-"),"URLが入力されていません","https://"&amp;Config!$C$3&amp;Config!$C$7&amp;Config!$C$10&amp;H16)</f>
        <v>https://vmc-osb-qa.hm.jp.honda.com/blue/vmcbom/v1/GetPartsWithSWProperty</v>
      </c>
      <c r="BZ16" s="27" t="str">
        <f t="shared" si="45"/>
        <v>http://{worker-node}:{NodePort}/GetPartsWithSWProperty</v>
      </c>
      <c r="CA16" s="27" t="str">
        <f>IF(OR(ISBLANK(H16),H16="-"),"URLが入力されていません","https://"&amp;Config!$C$4&amp;Config!$C$8&amp;Config!$C$10&amp;H16)</f>
        <v>https://vmc-osb-itb.hm.jp.honda.com/yellow/vmcbom/v1/GetPartsWithSWProperty</v>
      </c>
      <c r="CB16" s="27" t="str">
        <f t="shared" si="46"/>
        <v>http://{worker-node}:{NodePort}/GetPartsWithSWProperty</v>
      </c>
      <c r="CC16" s="27" t="str">
        <f>IF(OR(ISBLANK(H16),H16="-"),"URLが入力されていません","https://"&amp;Config!$C$5&amp;Config!$C$9&amp;Config!$C$10&amp;H16)</f>
        <v>https://vpr-sv-aws101.aws.t.rd.honda.com/vmcbom/v1/GetPartsWithSWProperty</v>
      </c>
      <c r="CD16" s="27" t="str">
        <f t="shared" si="47"/>
        <v>http://{worker-node}:{NodePort}/GetPartsWithSWProperty</v>
      </c>
      <c r="CE16" s="49"/>
      <c r="CF16" s="32"/>
      <c r="CG16" s="30" t="s">
        <v>152</v>
      </c>
    </row>
    <row r="17" spans="1:85" ht="15.6" customHeight="1" x14ac:dyDescent="0.3">
      <c r="A17" s="78" t="s">
        <v>234</v>
      </c>
      <c r="B17" s="62" t="s">
        <v>227</v>
      </c>
      <c r="C17" s="62" t="s">
        <v>223</v>
      </c>
      <c r="D17" s="1" t="str">
        <f>IF(
    C17 = "",
    "",
    IF(
        C17 = "API管理",
        "-",
        VLOOKUP(
            C17,
            'Container Service'!$B$2:$F$100,
            4,
            FALSE
        )
    )
)</f>
        <v>-</v>
      </c>
      <c r="E17" s="1"/>
      <c r="F17" s="77" t="s">
        <v>238</v>
      </c>
      <c r="G17" s="5" t="s">
        <v>238</v>
      </c>
      <c r="H17" s="5" t="s">
        <v>238</v>
      </c>
      <c r="I17" s="5" t="s">
        <v>238</v>
      </c>
      <c r="J17" s="1" t="s">
        <v>193</v>
      </c>
      <c r="K17" s="1" t="str">
        <f t="shared" ref="K17" si="65">IF(C17="",
    "",
    LOWER(
        SUBSTITUTE(
            SUBSTITUTE(
                G17 &amp; "-" &amp; BJ17 &amp; BK17 &amp; BL17 &amp; BM17 &amp; BN17 &amp; BO17 &amp; BP17 &amp; "-ingress",
                " ",
                ""
            ),
            "_",
            "-"
        )
    )
)</f>
        <v>registerswproperty-23-ingress</v>
      </c>
      <c r="L17" s="1" t="s">
        <v>26</v>
      </c>
      <c r="M17" s="3"/>
      <c r="N17" s="3"/>
      <c r="O17" s="1" t="str">
        <f t="shared" ref="O17" si="66">IF(
    C17 = "",
    "",
    SUBSTITUTE(
        LOWER(
            IF(
                M17 = "",
                L17 &amp; "-acl",
                IF(
                    N17 = "",
                    L17 &amp; "-" &amp; M17 &amp; "-acl",
                    L17 &amp; "-" &amp; M17 &amp; "-" &amp; N17 &amp; "-acl"
                )
            )
        ),
        "_",
        "-"
    )
)</f>
        <v>vmc-step2-bom-acl</v>
      </c>
      <c r="P17" s="60" t="str">
        <f t="shared" ref="P17" si="67">IF(C17="",
    "",
    LOWER(
        SUBSTITUTE(
            SUBSTITUTE(
                G17 &amp; "-rewrite-path",
                " ",
                ""
            ),
            "_",
            "-"
        )
    )
)</f>
        <v>registerswproperty-rewrite-path</v>
      </c>
      <c r="Q17" s="4" t="str">
        <f t="shared" ref="Q17" si="68">IF(
    C17 = "",
    "",
    IF(
        C17 = "API管理",
        IF(
            AO17 &lt;&gt; "",
            "/" &amp; AO17 &amp; "/" &amp; I17,
            "/" &amp; I17
        ),
        IF(
            D17 &lt;&gt; "-",
            "/" &amp; D17 &amp; "/" &amp; I17,
            "/" &amp; I17
        )
    )
)</f>
        <v>/RegisterSWProperty</v>
      </c>
      <c r="R17" s="4" t="str">
        <f t="shared" ref="R17" si="69">IF(
    C17 = "",
    "",
    IF(
        C17 = "API管理",
        IF(
            AP17 &lt;&gt; "",
            "/" &amp; AP17 &amp; "/" &amp; I17,
            "/" &amp; I17
        ),
        IF(
            D17 &lt;&gt; "-",
            "/" &amp; D17 &amp; "/" &amp; I17,
            "/" &amp; I17
        )
    )
)</f>
        <v>/RegisterSWProperty</v>
      </c>
      <c r="S17" s="4" t="str">
        <f t="shared" ref="S17" si="70">IF(
    C17 = "",
    "",
    IF(
        C17 = "API管理",
        IF(
            AQ17 &lt;&gt; "",
            "/" &amp; AQ17 &amp; "/" &amp; I17,
            "/" &amp; I17
        ),
        IF(
            D17 &lt;&gt; "-",
            "/" &amp; D17 &amp; "/" &amp; I17,
            "/" &amp; I17
        )
    )
)</f>
        <v>/RegisterSWProperty</v>
      </c>
      <c r="T17" s="4" t="str">
        <f t="shared" ref="T17" si="71">IF(
    C17 = "",
    "",
    IF(
        C17 = "API管理",
        IF(
            AR17 &lt;&gt; "",
            "/" &amp; AR17 &amp; "/" &amp; I17,
            "/" &amp; I17
        ),
        IF(
            D17 &lt;&gt; "-",
            "/" &amp; D17 &amp; "/" &amp; I17,
            "/" &amp; I17
        )
    )
)</f>
        <v>/RegisterSWProperty</v>
      </c>
      <c r="U17" s="4" t="str">
        <f>IF(
    C17 = "",
    "",
    IF(
        C17 = "API管理",
        AB17,
        VLOOKUP(
            C17,
            'Container Service'!$B$3:$F$100,
            5,
            FALSE
        )
    )
)</f>
        <v>vmcbom-services-public-rex-apiv1</v>
      </c>
      <c r="V17" s="4">
        <f>IF(
    C17 = "",
    "",
    IF(
        C17 = "API管理",
        IF(
            AND(
                AG17 = AH17,
                AH17 = AI17,
                AI17 = AJ17
            ),
            AG17,
            "External Service Portの列に依存"
        ),
        VLOOKUP(
            C17,
            'Container Service'!$B$3:$G$100,
            6,
            FALSE
        )
    )
)</f>
        <v>80</v>
      </c>
      <c r="W17" s="4" t="str">
        <f>IF(OR(ISBLANK(H17),H17="-"),"-",IF(H17&lt;&gt;I17,Config!$C$6&amp;Config!$C$10&amp;H17,Config!$C$6&amp;Config!$C$10&amp;H17))</f>
        <v>/vmcbom/v1/RegisterSWProperty</v>
      </c>
      <c r="X17" s="4" t="str">
        <f>IF(OR(ISBLANK(H17),H17="-"),"-",IF(H17&lt;&gt;I17,Config!$C$7&amp;Config!$C$10&amp;H17,Config!$C$7&amp;Config!$C$10&amp;H17))</f>
        <v>/blue/vmcbom/v1/RegisterSWProperty</v>
      </c>
      <c r="Y17" s="4" t="str">
        <f>IF(OR(ISBLANK(H17),H17="-"),"-",IF(H17&lt;&gt;I17,Config!$C$8&amp;Config!$C$10&amp;H17,Config!$C$8&amp;Config!$C$10&amp;H17))</f>
        <v>/yellow/vmcbom/v1/RegisterSWProperty</v>
      </c>
      <c r="Z17" s="4" t="str">
        <f>IF(OR(ISBLANK(H17),H17="-"),"-",IF(H17&lt;&gt;I17,Config!$C$9&amp;Config!$C$10&amp;H17,Config!$C$9&amp;Config!$C$10&amp;H17))</f>
        <v>/vmcbom/v1/RegisterSWProperty</v>
      </c>
      <c r="AA17" s="1"/>
      <c r="AB17" s="1" t="str">
        <f t="shared" ref="AB17" si="72">SUBSTITUTE(LOWER(IF(AA17="","","path-through-"&amp;AA17&amp;"-service")),"_","-")</f>
        <v/>
      </c>
      <c r="AC17" s="46"/>
      <c r="AD17" s="46"/>
      <c r="AE17" s="46"/>
      <c r="AF17" s="46"/>
      <c r="AG17" s="4"/>
      <c r="AH17" s="4"/>
      <c r="AI17" s="4"/>
      <c r="AJ17" s="4"/>
      <c r="AK17" s="1"/>
      <c r="AL17" s="1"/>
      <c r="AM17" s="1"/>
      <c r="AN17" s="1"/>
      <c r="AO17" s="1"/>
      <c r="AP17" s="1"/>
      <c r="AQ17" s="1"/>
      <c r="AR17" s="1"/>
      <c r="AS17" s="1" t="s">
        <v>0</v>
      </c>
      <c r="AT17" s="4" t="s">
        <v>0</v>
      </c>
      <c r="AU17" s="4" t="s">
        <v>0</v>
      </c>
      <c r="AV17" s="4" t="s">
        <v>0</v>
      </c>
      <c r="AW17" s="4" t="s">
        <v>0</v>
      </c>
      <c r="AX17" s="4" t="s">
        <v>0</v>
      </c>
      <c r="AY17" s="4" t="s">
        <v>0</v>
      </c>
      <c r="AZ17" s="4" t="s">
        <v>0</v>
      </c>
      <c r="BA17" s="4" t="s">
        <v>0</v>
      </c>
      <c r="BB17" s="4" t="s">
        <v>0</v>
      </c>
      <c r="BC17" s="4" t="s">
        <v>0</v>
      </c>
      <c r="BD17" s="4" t="s">
        <v>0</v>
      </c>
      <c r="BE17" s="4" t="s">
        <v>0</v>
      </c>
      <c r="BF17" s="1" t="str">
        <f t="shared" ref="BF17" si="73">IF(
    C17 = "",
    "",
    LOWER(
        SUBSTITUTE(
            SUBSTITUTE(
                G17 &amp; "-rewrite-path.yaml",
                " ",
                ""
            ),
            "_",
            "-"
        )
    )
)</f>
        <v>registerswproperty-rewrite-path.yaml</v>
      </c>
      <c r="BG17" s="1" t="str">
        <f t="shared" ref="BG17" si="74">IF(
    C17 = "",
    "",
    LOWER(
        SUBSTITUTE(
            SUBSTITUTE(
                G17 &amp; "-" &amp; BJ17 &amp; BK17 &amp; BL17 &amp; BM17 &amp; BN17 &amp; BO17 &amp; BP17 &amp; "-ingress.yaml",
                " ",
                ""
            ),
            "_",
            "-"
        )
    )
)</f>
        <v>registerswproperty-23-ingress.yaml</v>
      </c>
      <c r="BH17" s="1" t="str">
        <f t="shared" ref="BH17" si="75">SUBSTITUTE(LOWER(IF(AA17="","","path-through-"&amp;AA17&amp;"-service.yaml")),"_","-")</f>
        <v/>
      </c>
      <c r="BI17" s="4" t="str">
        <f t="shared" ref="BI17" si="76">SUBSTITUTE(LOWER(IF(AS17="-","",AS17&amp;".yaml")),"_","-")</f>
        <v/>
      </c>
      <c r="BJ17" s="6" t="str">
        <f>IF(C17="","",IF(COUNTIF(O$9:O17,O17)=1,"1",""))</f>
        <v/>
      </c>
      <c r="BK17" s="42" t="str">
        <f>IF(
    C17 = "",
    "",
    IF(
        COUNTIF(
            P$9:P17,
            P17
        ) &gt;= 1,
        "2",
        ""
    )
)</f>
        <v>2</v>
      </c>
      <c r="BL17" s="6" t="str">
        <f t="shared" ref="BL17" si="77">IF(
    C17 = "",
    "",
    IF(
        C17 &lt;&gt; "API管理",
        IF(
            AS17 = "-",
            "3",
            ""
        ),
        ""
    )
)</f>
        <v>3</v>
      </c>
      <c r="BM17" s="6" t="str">
        <f>IF(
    C17 = "",
    "",
    IF(
        C17 &lt;&gt; "API管理",
        IF(
            AS17 = "-",
            "",
            IF(
                COUNTIF(
                    BI$9:BI17,
                    BI17
                ) = 1,
                "4-1",
                "4-2"
            )
        ),
        ""
    )
)</f>
        <v/>
      </c>
      <c r="BN17" s="6" t="str">
        <f>IF(
    C17 = "",
    "",
    IF(
        C17 &lt;&gt; "API管理",
        "",
        IF(
            AS17 = "-",
            IF(
                COUNTIF(
                    BH$9:BH17,
                    BH17
                ) = 1,
                "5-1",
                "5-2"
            ),
            ""
        )
    )
)</f>
        <v/>
      </c>
      <c r="BO17" s="6" t="str">
        <f>IF(
    C17 = "",
    "",
    IF(
        C17 &lt;&gt; "API管理",
        "",
        IF(
            AS17 = "-",
            "",
                IF(
                    COUNTIF(
                        BH$9:BH17,
                        BH17
                    ) = 1,
                    IF(
                        COUNTIF(
                            BI$9:BI17,
                            BI17
                        ) = 1,
                        "6-1",
                        "6-3"
                    ),
                    IF(
                        COUNTIF(
                            BI$9:BI17,
                            BI17
                        ) = 1,
                        "6-2",
                        "6-4"
                    )
            )
        )
    )
)</f>
        <v/>
      </c>
      <c r="BP17" s="6"/>
      <c r="BQ17" s="49">
        <v>45617</v>
      </c>
      <c r="BR17" s="32" t="s">
        <v>157</v>
      </c>
      <c r="BS17" s="30" t="s">
        <v>212</v>
      </c>
      <c r="BT17" s="30" t="s">
        <v>212</v>
      </c>
      <c r="BU17" s="30" t="s">
        <v>212</v>
      </c>
      <c r="BV17" s="48" t="s">
        <v>212</v>
      </c>
      <c r="BW17" s="27" t="str">
        <f>IF(OR(ISBLANK(H17),H17="-"),"URLが入力されていません","https://"&amp;Config!$C$2&amp;Config!$C$6&amp;Config!$C$10&amp;H17)</f>
        <v>https://vmc-osb.hm.jp.honda.com/vmcbom/v1/RegisterSWProperty</v>
      </c>
      <c r="BX17" s="27" t="str">
        <f t="shared" ref="BX17" si="78">IF(
    OR(
        I17 = "",
        I17 = "-"
    ),
    "URLが入力されていません",
    IF(
        C17 = "API管理",
        IF(
            AO17 = "",
AC17 &amp; "://" &amp; AK17 &amp; ":" &amp; AG17 &amp; "/" &amp; I17,
AC17 &amp; "://" &amp; AK17 &amp; ":" &amp; AG17 &amp; "/" &amp; AO17 &amp; "/" &amp; I17
        ),
        IF(
            D17 = "-",
            "http://{worker-node}:{NodePort}/" &amp; I17,
            "http://{worker-node}:{NodePort}/" &amp; D17 &amp; "/" &amp; I17
        )
    )
)</f>
        <v>http://{worker-node}:{NodePort}/RegisterSWProperty</v>
      </c>
      <c r="BY17" s="27" t="str">
        <f>IF(OR(ISBLANK(H17),H17="-"),"URLが入力されていません","https://"&amp;Config!$C$3&amp;Config!$C$7&amp;Config!$C$10&amp;H17)</f>
        <v>https://vmc-osb-qa.hm.jp.honda.com/blue/vmcbom/v1/RegisterSWProperty</v>
      </c>
      <c r="BZ17" s="27" t="str">
        <f t="shared" ref="BZ17" si="79">IF(
    OR(
        I17 = "",
        I17 = "-"
    ),
    "URLが入力されていません",
    IF(
        C17 = "API管理",
        IF(
            AO17 = "",
AD17 &amp; "://" &amp; AL17 &amp; ":" &amp; AH17 &amp; "/" &amp; I17,
AD17 &amp; "://" &amp; AL17 &amp; ":" &amp; AH17 &amp; "/" &amp; AP17 &amp; "/" &amp; I17
        ),
        IF(
            D17 = "-",
            "http://{worker-node}:{NodePort}/" &amp; I17,
            "http://{worker-node}:{NodePort}/" &amp; D17 &amp; "/" &amp; I17
        )
    )
)</f>
        <v>http://{worker-node}:{NodePort}/RegisterSWProperty</v>
      </c>
      <c r="CA17" s="27" t="str">
        <f>IF(OR(ISBLANK(H17),H17="-"),"URLが入力されていません","https://"&amp;Config!$C$4&amp;Config!$C$8&amp;Config!$C$10&amp;H17)</f>
        <v>https://vmc-osb-itb.hm.jp.honda.com/yellow/vmcbom/v1/RegisterSWProperty</v>
      </c>
      <c r="CB17" s="27" t="str">
        <f t="shared" ref="CB17" si="80">IF(
    OR(
        I17 = "",
        I17 = "-"
    ),
    "URLが入力されていません",
    IF(
        C17 = "API管理",
        IF(
            AO17 = "",
AE17 &amp; "://" &amp; AM17 &amp; ":" &amp; AI17 &amp; "/" &amp; I17,
AE17 &amp; "://" &amp; AM17 &amp; ":" &amp; AI17 &amp; "/" &amp; AQ17 &amp; "/" &amp; I17
        ),
        IF(
            D17 = "-",
            "http://{worker-node}:{NodePort}/" &amp; I17,
            "http://{worker-node}:{NodePort}/" &amp; D17 &amp; "/" &amp; I17
        )
    )
)</f>
        <v>http://{worker-node}:{NodePort}/RegisterSWProperty</v>
      </c>
      <c r="CC17" s="27" t="str">
        <f>IF(OR(ISBLANK(H17),H17="-"),"URLが入力されていません","https://"&amp;Config!$C$5&amp;Config!$C$9&amp;Config!$C$10&amp;H17)</f>
        <v>https://vpr-sv-aws101.aws.t.rd.honda.com/vmcbom/v1/RegisterSWProperty</v>
      </c>
      <c r="CD17" s="27" t="str">
        <f t="shared" ref="CD17" si="81">IF(
    OR(
        I17 = "",
        I17 = "-"
    ),
    "URLが入力されていません",
    IF(
        C17 = "API管理",
        IF(
            AO17 = "",
AF17 &amp; "://" &amp; AN17 &amp; ":" &amp; AJ17 &amp; "/" &amp; I17,
AF17 &amp; "://" &amp; AN17 &amp; ":" &amp; AJ17 &amp; "/" &amp; AR17 &amp; "/" &amp; I17
        ),
        IF(
            D17 = "-",
            "http://{worker-node}:{NodePort}/" &amp; I17,
            "http://{worker-node}:{NodePort}/" &amp; D17 &amp; "/" &amp; I17
        )
    )
)</f>
        <v>http://{worker-node}:{NodePort}/RegisterSWProperty</v>
      </c>
      <c r="CE17" s="49"/>
      <c r="CF17" s="32"/>
      <c r="CG17" s="30" t="s">
        <v>152</v>
      </c>
    </row>
    <row r="18" spans="1:85" ht="15.75" customHeight="1" x14ac:dyDescent="0.3">
      <c r="A18" s="10" t="s">
        <v>199</v>
      </c>
      <c r="B18" s="1"/>
      <c r="C18" s="1"/>
      <c r="D18" s="1" t="str">
        <f>IF(
    C18 = "",
    "",
    IF(
        C18 = "API管理",
        "-",
        VLOOKUP(
            C18,
            'Container Service'!$B$2:$F$100,
            4,
            FALSE
        )
    )
)</f>
        <v/>
      </c>
      <c r="E18" s="1"/>
      <c r="F18" s="5"/>
      <c r="G18" s="5"/>
      <c r="H18" s="1"/>
      <c r="I18" s="1"/>
      <c r="J18" s="1"/>
      <c r="K18" s="1" t="str">
        <f t="shared" ref="K18" si="82">IF(C18="",
    "",
    LOWER(
        SUBSTITUTE(
            SUBSTITUTE(
                G18 &amp; "-" &amp; BJ18 &amp; BK18 &amp; BL18 &amp; BM18 &amp; BN18 &amp; BO18 &amp; BP18 &amp; "-ingress",
                " ",
                ""
            ),
            "_",
            "-"
        )
    )
)</f>
        <v/>
      </c>
      <c r="L18" s="3"/>
      <c r="M18" s="3"/>
      <c r="N18" s="3"/>
      <c r="O18" s="1" t="str">
        <f t="shared" ref="O18" si="83">IF(
    C18 = "",
    "",
    SUBSTITUTE(
        LOWER(
            IF(
                M18 = "",
                L18 &amp; "-acl",
                IF(
                    N18 = "",
                    L18 &amp; "-" &amp; M18 &amp; "-acl",
                    L18 &amp; "-" &amp; M18 &amp; "-" &amp; N18 &amp; "-acl"
                )
            )
        ),
        "_",
        "-"
    )
)</f>
        <v/>
      </c>
      <c r="P18" s="60" t="str">
        <f t="shared" ref="P18" si="84">IF(C18="",
    "",
    LOWER(
        SUBSTITUTE(
            SUBSTITUTE(
                G18 &amp; "-rewrite-path",
                " ",
                ""
            ),
            "_",
            "-"
        )
    )
)</f>
        <v/>
      </c>
      <c r="Q18" s="4" t="str">
        <f t="shared" ref="Q18" si="85">IF(
    C18 = "",
    "",
    IF(
        C18 = "API管理",
        IF(
            AO18 &lt;&gt; "",
            "/" &amp; AO18 &amp; "/" &amp; I18,
            "/" &amp; I18
        ),
        IF(
            D18 &lt;&gt; "-",
            "/" &amp; D18 &amp; "/" &amp; I18,
            "/" &amp; I18
        )
    )
)</f>
        <v/>
      </c>
      <c r="R18" s="4" t="str">
        <f t="shared" ref="R18" si="86">IF(
    C18 = "",
    "",
    IF(
        C18 = "API管理",
        IF(
            AP18 &lt;&gt; "",
            "/" &amp; AP18 &amp; "/" &amp; I18,
            "/" &amp; I18
        ),
        IF(
            D18 &lt;&gt; "-",
            "/" &amp; D18 &amp; "/" &amp; I18,
            "/" &amp; I18
        )
    )
)</f>
        <v/>
      </c>
      <c r="S18" s="4" t="str">
        <f t="shared" ref="S18" si="87">IF(
    C18 = "",
    "",
    IF(
        C18 = "API管理",
        IF(
            AQ18 &lt;&gt; "",
            "/" &amp; AQ18 &amp; "/" &amp; I18,
            "/" &amp; I18
        ),
        IF(
            D18 &lt;&gt; "-",
            "/" &amp; D18 &amp; "/" &amp; I18,
            "/" &amp; I18
        )
    )
)</f>
        <v/>
      </c>
      <c r="T18" s="4" t="str">
        <f t="shared" ref="T18" si="88">IF(
    C18 = "",
    "",
    IF(
        C18 = "API管理",
        IF(
            AR18 &lt;&gt; "",
            "/" &amp; AR18 &amp; "/" &amp; I18,
            "/" &amp; I18
        ),
        IF(
            D18 &lt;&gt; "-",
            "/" &amp; D18 &amp; "/" &amp; I18,
            "/" &amp; I18
        )
    )
)</f>
        <v/>
      </c>
      <c r="U18" s="4" t="str">
        <f>IF(
    C18 = "",
    "",
    IF(
        C18 = "API管理",
        AB18,
        VLOOKUP(
            C18,
            'Container Service'!$B$3:$F$100,
            5,
            FALSE
        )
    )
)</f>
        <v/>
      </c>
      <c r="V18" s="4" t="str">
        <f>IF(
    C18 = "",
    "",
    IF(
        C18 = "API管理",
        IF(
            AND(
                AG18 = AH18,
                AH18 = AI18,
                AI18 = AJ18
            ),
            AG18,
            "External Service Portの列に依存"
        ),
        VLOOKUP(
            C18,
            'Container Service'!$B$3:$G$100,
            6,
            FALSE
        )
    )
)</f>
        <v/>
      </c>
      <c r="W18" s="4" t="str">
        <f>IF(OR(ISBLANK(H18),H18="-"),"-",IF(H18&lt;&gt;I18,Config!$C$6&amp;Config!$C$10&amp;H18,Config!$C$6&amp;Config!$C$10&amp;H18))</f>
        <v>-</v>
      </c>
      <c r="X18" s="4" t="str">
        <f>IF(OR(ISBLANK(H18),H18="-"),"-",IF(H18&lt;&gt;I18,Config!$C$7&amp;Config!$C$10&amp;H18,Config!$C$7&amp;Config!$C$10&amp;H18))</f>
        <v>-</v>
      </c>
      <c r="Y18" s="4" t="str">
        <f>IF(OR(ISBLANK(H18),H18="-"),"-",IF(H18&lt;&gt;I18,Config!$C$8&amp;Config!$C$10&amp;H18,Config!$C$8&amp;Config!$C$10&amp;H18))</f>
        <v>-</v>
      </c>
      <c r="Z18" s="4" t="str">
        <f>IF(OR(ISBLANK(H18),H18="-"),"-",IF(H18&lt;&gt;I18,Config!$C$9&amp;Config!$C$10&amp;H18,Config!$C$9&amp;Config!$C$10&amp;H18))</f>
        <v>-</v>
      </c>
      <c r="AA18" s="1"/>
      <c r="AB18" s="1" t="str">
        <f t="shared" ref="AB18" si="89">SUBSTITUTE(LOWER(IF(AA18="","","path-through-"&amp;AA18&amp;"-service")),"_","-")</f>
        <v/>
      </c>
      <c r="AC18" s="46"/>
      <c r="AD18" s="46"/>
      <c r="AE18" s="46"/>
      <c r="AF18" s="46"/>
      <c r="AG18" s="4"/>
      <c r="AH18" s="4"/>
      <c r="AI18" s="4"/>
      <c r="AJ18" s="4"/>
      <c r="AK18" s="1"/>
      <c r="AL18" s="1"/>
      <c r="AM18" s="1"/>
      <c r="AN18" s="1"/>
      <c r="AO18" s="1"/>
      <c r="AP18" s="1"/>
      <c r="AQ18" s="1"/>
      <c r="AR18" s="1"/>
      <c r="AS18" s="1" t="s">
        <v>0</v>
      </c>
      <c r="AT18" s="4" t="s">
        <v>0</v>
      </c>
      <c r="AU18" s="4" t="s">
        <v>0</v>
      </c>
      <c r="AV18" s="4" t="s">
        <v>0</v>
      </c>
      <c r="AW18" s="4" t="s">
        <v>0</v>
      </c>
      <c r="AX18" s="4" t="s">
        <v>0</v>
      </c>
      <c r="AY18" s="4" t="s">
        <v>0</v>
      </c>
      <c r="AZ18" s="4" t="s">
        <v>0</v>
      </c>
      <c r="BA18" s="4" t="s">
        <v>0</v>
      </c>
      <c r="BB18" s="4" t="s">
        <v>0</v>
      </c>
      <c r="BC18" s="4" t="s">
        <v>0</v>
      </c>
      <c r="BD18" s="4" t="s">
        <v>0</v>
      </c>
      <c r="BE18" s="4" t="s">
        <v>0</v>
      </c>
      <c r="BF18" s="1" t="str">
        <f t="shared" ref="BF18" si="90">IF(
    C18 = "",
    "",
    LOWER(
        SUBSTITUTE(
            SUBSTITUTE(
                G18 &amp; "-rewrite-path.yaml",
                " ",
                ""
            ),
            "_",
            "-"
        )
    )
)</f>
        <v/>
      </c>
      <c r="BG18" s="1" t="str">
        <f t="shared" ref="BG18" si="91">IF(
    C18 = "",
    "",
    LOWER(
        SUBSTITUTE(
            SUBSTITUTE(
                G18 &amp; "-" &amp; BJ18 &amp; BK18 &amp; BL18 &amp; BM18 &amp; BN18 &amp; BO18 &amp; BP18 &amp; "-ingress.yaml",
                " ",
                ""
            ),
            "_",
            "-"
        )
    )
)</f>
        <v/>
      </c>
      <c r="BH18" s="1" t="str">
        <f t="shared" ref="BH18" si="92">SUBSTITUTE(LOWER(IF(AA18="","","path-through-"&amp;AA18&amp;"-service.yaml")),"_","-")</f>
        <v/>
      </c>
      <c r="BI18" s="4" t="str">
        <f t="shared" ref="BI18" si="93">SUBSTITUTE(LOWER(IF(AS18="-","",AS18&amp;".yaml")),"_","-")</f>
        <v/>
      </c>
      <c r="BJ18" s="6" t="str">
        <f>IF(C18="","",IF(COUNTIF(O$9:O18,O18)=1,"1",""))</f>
        <v/>
      </c>
      <c r="BK18" s="42" t="str">
        <f>IF(
    C18 = "",
    "",
    IF(
        COUNTIF(
            P$9:P18,
            P18
        ) &gt;= 1,
        "2",
        ""
    )
)</f>
        <v/>
      </c>
      <c r="BL18" s="6" t="str">
        <f t="shared" ref="BL18" si="94">IF(
    C18 = "",
    "",
    IF(
        C18 &lt;&gt; "API管理",
        IF(
            AS18 = "-",
            "3",
            ""
        ),
        ""
    )
)</f>
        <v/>
      </c>
      <c r="BM18" s="6" t="str">
        <f>IF(
    C18 = "",
    "",
    IF(
        C18 &lt;&gt; "API管理",
        IF(
            AS18 = "-",
            "",
            IF(
                COUNTIF(
                    BI$9:BI18,
                    BI18
                ) = 1,
                "4-1",
                "4-2"
            )
        ),
        ""
    )
)</f>
        <v/>
      </c>
      <c r="BN18" s="6" t="str">
        <f>IF(
    C18 = "",
    "",
    IF(
        C18 &lt;&gt; "API管理",
        "",
        IF(
            AS18 = "-",
            IF(
                COUNTIF(
                    BH$9:BH18,
                    BH18
                ) = 1,
                "5-1",
                "5-2"
            ),
            ""
        )
    )
)</f>
        <v/>
      </c>
      <c r="BO18" s="6" t="str">
        <f>IF(
    C18 = "",
    "",
    IF(
        C18 &lt;&gt; "API管理",
        "",
        IF(
            AS18 = "-",
            "",
                IF(
                    COUNTIF(
                        BH$9:BH18,
                        BH18
                    ) = 1,
                    IF(
                        COUNTIF(
                            BI$9:BI18,
                            BI18
                        ) = 1,
                        "6-1",
                        "6-3"
                    ),
                    IF(
                        COUNTIF(
                            BI$9:BI18,
                            BI18
                        ) = 1,
                        "6-2",
                        "6-4"
                    )
            )
        )
    )
)</f>
        <v/>
      </c>
      <c r="BP18" s="6"/>
      <c r="BQ18" s="49"/>
      <c r="BR18" s="32" t="s">
        <v>157</v>
      </c>
      <c r="BS18" s="30" t="s">
        <v>152</v>
      </c>
      <c r="BT18" s="30" t="s">
        <v>152</v>
      </c>
      <c r="BU18" s="30" t="s">
        <v>152</v>
      </c>
      <c r="BV18" s="48" t="s">
        <v>152</v>
      </c>
      <c r="BW18" s="27" t="str">
        <f>IF(OR(ISBLANK(H18),H18="-"),"URLが入力されていません","https://"&amp;Config!$C$2&amp;Config!$C$6&amp;Config!$C$10&amp;H18)</f>
        <v>URLが入力されていません</v>
      </c>
      <c r="BX18" s="27" t="str">
        <f t="shared" ref="BX18" si="95">IF(
    OR(
        I18 = "",
        I18 = "-"
    ),
    "URLが入力されていません",
    IF(
        C18 = "API管理",
        IF(
            AO18 = "",
AC18 &amp; "://" &amp; AK18 &amp; ":" &amp; AG18 &amp; "/" &amp; I18,
AC18 &amp; "://" &amp; AK18 &amp; ":" &amp; AG18 &amp; "/" &amp; AO18 &amp; "/" &amp; I18
        ),
        IF(
            D18 = "-",
            "http://{worker-node}:{NodePort}/" &amp; I18,
            "http://{worker-node}:{NodePort}/" &amp; D18 &amp; "/" &amp; I18
        )
    )
)</f>
        <v>URLが入力されていません</v>
      </c>
      <c r="BY18" s="27" t="str">
        <f>IF(OR(ISBLANK(H18),H18="-"),"URLが入力されていません","https://"&amp;Config!$C$3&amp;Config!$C$7&amp;Config!$C$10&amp;H18)</f>
        <v>URLが入力されていません</v>
      </c>
      <c r="BZ18" s="27" t="str">
        <f t="shared" ref="BZ18" si="96">IF(
    OR(
        I18 = "",
        I18 = "-"
    ),
    "URLが入力されていません",
    IF(
        C18 = "API管理",
        IF(
            AO18 = "",
AD18 &amp; "://" &amp; AL18 &amp; ":" &amp; AH18 &amp; "/" &amp; I18,
AD18 &amp; "://" &amp; AL18 &amp; ":" &amp; AH18 &amp; "/" &amp; AP18 &amp; "/" &amp; I18
        ),
        IF(
            D18 = "-",
            "http://{worker-node}:{NodePort}/" &amp; I18,
            "http://{worker-node}:{NodePort}/" &amp; D18 &amp; "/" &amp; I18
        )
    )
)</f>
        <v>URLが入力されていません</v>
      </c>
      <c r="CA18" s="27" t="str">
        <f>IF(OR(ISBLANK(H18),H18="-"),"URLが入力されていません","https://"&amp;Config!$C$4&amp;Config!$C$8&amp;Config!$C$10&amp;H18)</f>
        <v>URLが入力されていません</v>
      </c>
      <c r="CB18" s="27" t="str">
        <f t="shared" ref="CB18" si="97">IF(
    OR(
        I18 = "",
        I18 = "-"
    ),
    "URLが入力されていません",
    IF(
        C18 = "API管理",
        IF(
            AO18 = "",
AE18 &amp; "://" &amp; AM18 &amp; ":" &amp; AI18 &amp; "/" &amp; I18,
AE18 &amp; "://" &amp; AM18 &amp; ":" &amp; AI18 &amp; "/" &amp; AQ18 &amp; "/" &amp; I18
        ),
        IF(
            D18 = "-",
            "http://{worker-node}:{NodePort}/" &amp; I18,
            "http://{worker-node}:{NodePort}/" &amp; D18 &amp; "/" &amp; I18
        )
    )
)</f>
        <v>URLが入力されていません</v>
      </c>
      <c r="CC18" s="27" t="str">
        <f>IF(OR(ISBLANK(H18),H18="-"),"URLが入力されていません","https://"&amp;Config!$C$5&amp;Config!$C$9&amp;Config!$C$10&amp;H18)</f>
        <v>URLが入力されていません</v>
      </c>
      <c r="CD18" s="27" t="str">
        <f t="shared" ref="CD18" si="98">IF(
    OR(
        I18 = "",
        I18 = "-"
    ),
    "URLが入力されていません",
    IF(
        C18 = "API管理",
        IF(
            AO18 = "",
AF18 &amp; "://" &amp; AN18 &amp; ":" &amp; AJ18 &amp; "/" &amp; I18,
AF18 &amp; "://" &amp; AN18 &amp; ":" &amp; AJ18 &amp; "/" &amp; AR18 &amp; "/" &amp; I18
        ),
        IF(
            D18 = "-",
            "http://{worker-node}:{NodePort}/" &amp; I18,
            "http://{worker-node}:{NodePort}/" &amp; D18 &amp; "/" &amp; I18
        )
    )
)</f>
        <v>URLが入力されていません</v>
      </c>
      <c r="CE18" s="32"/>
      <c r="CF18" s="32"/>
      <c r="CG18" s="30" t="s">
        <v>152</v>
      </c>
    </row>
    <row r="19" spans="1:85" ht="15.75" customHeight="1" x14ac:dyDescent="0.3">
      <c r="BL19" s="61"/>
    </row>
  </sheetData>
  <autoFilter ref="A8:CG18" xr:uid="{00000000-0001-0000-0000-000000000000}"/>
  <mergeCells count="41">
    <mergeCell ref="CC7:CC8"/>
    <mergeCell ref="CD7:CD8"/>
    <mergeCell ref="E7:E8"/>
    <mergeCell ref="BQ7:BV7"/>
    <mergeCell ref="BW7:BW8"/>
    <mergeCell ref="BX7:BX8"/>
    <mergeCell ref="BY7:BY8"/>
    <mergeCell ref="BZ7:BZ8"/>
    <mergeCell ref="CA7:CA8"/>
    <mergeCell ref="AS7:BE7"/>
    <mergeCell ref="BF7:BF8"/>
    <mergeCell ref="BG7:BG8"/>
    <mergeCell ref="BH7:BH8"/>
    <mergeCell ref="BI7:BI8"/>
    <mergeCell ref="BJ7:BP7"/>
    <mergeCell ref="AB7:AB8"/>
    <mergeCell ref="AC7:AF7"/>
    <mergeCell ref="AG7:AJ7"/>
    <mergeCell ref="AK7:AN7"/>
    <mergeCell ref="CB7:CB8"/>
    <mergeCell ref="W7:W8"/>
    <mergeCell ref="X7:X8"/>
    <mergeCell ref="Y7:Y8"/>
    <mergeCell ref="Z7:Z8"/>
    <mergeCell ref="AA7:AA8"/>
    <mergeCell ref="CE7:CG7"/>
    <mergeCell ref="Q7:T7"/>
    <mergeCell ref="B7:B8"/>
    <mergeCell ref="C7:C8"/>
    <mergeCell ref="D7:D8"/>
    <mergeCell ref="F7:F8"/>
    <mergeCell ref="G7:G8"/>
    <mergeCell ref="H7:H8"/>
    <mergeCell ref="I7:I8"/>
    <mergeCell ref="J7:J8"/>
    <mergeCell ref="K7:K8"/>
    <mergeCell ref="L7:O7"/>
    <mergeCell ref="P7:P8"/>
    <mergeCell ref="AO7:AR7"/>
    <mergeCell ref="U7:U8"/>
    <mergeCell ref="V7:V8"/>
  </mergeCells>
  <phoneticPr fontId="0" type="Hiragana"/>
  <conditionalFormatting sqref="BT9">
    <cfRule type="cellIs" dxfId="143" priority="544" operator="equal">
      <formula>"削除済"</formula>
    </cfRule>
    <cfRule type="cellIs" dxfId="142" priority="545" operator="equal">
      <formula>"登録済"</formula>
    </cfRule>
    <cfRule type="cellIs" dxfId="141" priority="546" operator="equal">
      <formula>"依頼中"</formula>
    </cfRule>
  </conditionalFormatting>
  <conditionalFormatting sqref="BV9">
    <cfRule type="cellIs" dxfId="140" priority="538" operator="equal">
      <formula>"削除済"</formula>
    </cfRule>
    <cfRule type="cellIs" dxfId="139" priority="539" operator="equal">
      <formula>"登録済"</formula>
    </cfRule>
    <cfRule type="cellIs" dxfId="138" priority="540" operator="equal">
      <formula>"依頼中"</formula>
    </cfRule>
  </conditionalFormatting>
  <conditionalFormatting sqref="BS9">
    <cfRule type="cellIs" dxfId="137" priority="547" operator="equal">
      <formula>"削除済"</formula>
    </cfRule>
    <cfRule type="cellIs" dxfId="136" priority="548" operator="equal">
      <formula>"登録済"</formula>
    </cfRule>
    <cfRule type="cellIs" dxfId="135" priority="549" operator="equal">
      <formula>"依頼中"</formula>
    </cfRule>
  </conditionalFormatting>
  <conditionalFormatting sqref="BU9">
    <cfRule type="cellIs" dxfId="134" priority="541" operator="equal">
      <formula>"削除済"</formula>
    </cfRule>
    <cfRule type="cellIs" dxfId="133" priority="542" operator="equal">
      <formula>"登録済"</formula>
    </cfRule>
    <cfRule type="cellIs" dxfId="132" priority="543" operator="equal">
      <formula>"依頼中"</formula>
    </cfRule>
  </conditionalFormatting>
  <conditionalFormatting sqref="AC9:AR9 AA9 BH9">
    <cfRule type="expression" dxfId="131" priority="537">
      <formula>$C9&lt;&gt;"API管理"</formula>
    </cfRule>
  </conditionalFormatting>
  <conditionalFormatting sqref="AT9:BE9 BI9">
    <cfRule type="expression" dxfId="130" priority="536">
      <formula>$AS9="-"</formula>
    </cfRule>
  </conditionalFormatting>
  <conditionalFormatting sqref="AB9">
    <cfRule type="expression" dxfId="129" priority="535">
      <formula>$C9&lt;&gt;"API管理"</formula>
    </cfRule>
  </conditionalFormatting>
  <conditionalFormatting sqref="AC13:AR13 AA13 BH13">
    <cfRule type="expression" dxfId="128" priority="492">
      <formula>$C13&lt;&gt;"API管理"</formula>
    </cfRule>
  </conditionalFormatting>
  <conditionalFormatting sqref="AT13:BE13 BI13">
    <cfRule type="expression" dxfId="127" priority="491">
      <formula>$AS13="-"</formula>
    </cfRule>
  </conditionalFormatting>
  <conditionalFormatting sqref="AB13">
    <cfRule type="expression" dxfId="126" priority="490">
      <formula>$C13&lt;&gt;"API管理"</formula>
    </cfRule>
  </conditionalFormatting>
  <conditionalFormatting sqref="BT10:BT11">
    <cfRule type="cellIs" dxfId="125" priority="352" operator="equal">
      <formula>"削除済"</formula>
    </cfRule>
    <cfRule type="cellIs" dxfId="124" priority="353" operator="equal">
      <formula>"登録済"</formula>
    </cfRule>
    <cfRule type="cellIs" dxfId="123" priority="354" operator="equal">
      <formula>"依頼中"</formula>
    </cfRule>
  </conditionalFormatting>
  <conditionalFormatting sqref="BV10:BV11">
    <cfRule type="cellIs" dxfId="122" priority="346" operator="equal">
      <formula>"削除済"</formula>
    </cfRule>
    <cfRule type="cellIs" dxfId="121" priority="347" operator="equal">
      <formula>"登録済"</formula>
    </cfRule>
    <cfRule type="cellIs" dxfId="120" priority="348" operator="equal">
      <formula>"依頼中"</formula>
    </cfRule>
  </conditionalFormatting>
  <conditionalFormatting sqref="BS10:BS11">
    <cfRule type="cellIs" dxfId="119" priority="355" operator="equal">
      <formula>"削除済"</formula>
    </cfRule>
    <cfRule type="cellIs" dxfId="118" priority="356" operator="equal">
      <formula>"登録済"</formula>
    </cfRule>
    <cfRule type="cellIs" dxfId="117" priority="357" operator="equal">
      <formula>"依頼中"</formula>
    </cfRule>
  </conditionalFormatting>
  <conditionalFormatting sqref="BU10:BU11">
    <cfRule type="cellIs" dxfId="116" priority="349" operator="equal">
      <formula>"削除済"</formula>
    </cfRule>
    <cfRule type="cellIs" dxfId="115" priority="350" operator="equal">
      <formula>"登録済"</formula>
    </cfRule>
    <cfRule type="cellIs" dxfId="114" priority="351" operator="equal">
      <formula>"依頼中"</formula>
    </cfRule>
  </conditionalFormatting>
  <conditionalFormatting sqref="AC10:AR11 AA10:AA11 BH10:BH11">
    <cfRule type="expression" dxfId="113" priority="345">
      <formula>$C10&lt;&gt;"API管理"</formula>
    </cfRule>
  </conditionalFormatting>
  <conditionalFormatting sqref="AT10:BE11 BI10:BI11">
    <cfRule type="expression" dxfId="112" priority="344">
      <formula>$AS10="-"</formula>
    </cfRule>
  </conditionalFormatting>
  <conditionalFormatting sqref="AB10:AB11">
    <cfRule type="expression" dxfId="111" priority="343">
      <formula>$C10&lt;&gt;"API管理"</formula>
    </cfRule>
  </conditionalFormatting>
  <conditionalFormatting sqref="CF9:CG9">
    <cfRule type="cellIs" dxfId="110" priority="259" operator="equal">
      <formula>"削除済"</formula>
    </cfRule>
    <cfRule type="cellIs" dxfId="109" priority="260" operator="equal">
      <formula>"登録済"</formula>
    </cfRule>
    <cfRule type="cellIs" dxfId="108" priority="261" operator="equal">
      <formula>"依頼中"</formula>
    </cfRule>
  </conditionalFormatting>
  <conditionalFormatting sqref="BT12">
    <cfRule type="cellIs" dxfId="107" priority="217" operator="equal">
      <formula>"削除済"</formula>
    </cfRule>
    <cfRule type="cellIs" dxfId="106" priority="218" operator="equal">
      <formula>"登録済"</formula>
    </cfRule>
    <cfRule type="cellIs" dxfId="105" priority="219" operator="equal">
      <formula>"依頼中"</formula>
    </cfRule>
  </conditionalFormatting>
  <conditionalFormatting sqref="BV12">
    <cfRule type="cellIs" dxfId="104" priority="211" operator="equal">
      <formula>"削除済"</formula>
    </cfRule>
    <cfRule type="cellIs" dxfId="103" priority="212" operator="equal">
      <formula>"登録済"</formula>
    </cfRule>
    <cfRule type="cellIs" dxfId="102" priority="213" operator="equal">
      <formula>"依頼中"</formula>
    </cfRule>
  </conditionalFormatting>
  <conditionalFormatting sqref="BS12">
    <cfRule type="cellIs" dxfId="101" priority="220" operator="equal">
      <formula>"削除済"</formula>
    </cfRule>
    <cfRule type="cellIs" dxfId="100" priority="221" operator="equal">
      <formula>"登録済"</formula>
    </cfRule>
    <cfRule type="cellIs" dxfId="99" priority="222" operator="equal">
      <formula>"依頼中"</formula>
    </cfRule>
  </conditionalFormatting>
  <conditionalFormatting sqref="AC12:AR12 AA12 BH12">
    <cfRule type="expression" dxfId="98" priority="210">
      <formula>$C12&lt;&gt;"API管理"</formula>
    </cfRule>
  </conditionalFormatting>
  <conditionalFormatting sqref="AT12:BE12 BI12">
    <cfRule type="expression" dxfId="97" priority="209">
      <formula>$AS12="-"</formula>
    </cfRule>
  </conditionalFormatting>
  <conditionalFormatting sqref="AB12">
    <cfRule type="expression" dxfId="96" priority="208">
      <formula>$C12&lt;&gt;"API管理"</formula>
    </cfRule>
  </conditionalFormatting>
  <conditionalFormatting sqref="CF12:CG12">
    <cfRule type="cellIs" dxfId="95" priority="205" operator="equal">
      <formula>"削除済"</formula>
    </cfRule>
    <cfRule type="cellIs" dxfId="94" priority="206" operator="equal">
      <formula>"登録済"</formula>
    </cfRule>
    <cfRule type="cellIs" dxfId="93" priority="207" operator="equal">
      <formula>"依頼中"</formula>
    </cfRule>
  </conditionalFormatting>
  <conditionalFormatting sqref="BT18">
    <cfRule type="cellIs" dxfId="92" priority="199" operator="equal">
      <formula>"削除済"</formula>
    </cfRule>
    <cfRule type="cellIs" dxfId="91" priority="200" operator="equal">
      <formula>"登録済"</formula>
    </cfRule>
    <cfRule type="cellIs" dxfId="90" priority="201" operator="equal">
      <formula>"依頼中"</formula>
    </cfRule>
  </conditionalFormatting>
  <conditionalFormatting sqref="BV18">
    <cfRule type="cellIs" dxfId="89" priority="193" operator="equal">
      <formula>"削除済"</formula>
    </cfRule>
    <cfRule type="cellIs" dxfId="88" priority="194" operator="equal">
      <formula>"登録済"</formula>
    </cfRule>
    <cfRule type="cellIs" dxfId="87" priority="195" operator="equal">
      <formula>"依頼中"</formula>
    </cfRule>
  </conditionalFormatting>
  <conditionalFormatting sqref="BS18">
    <cfRule type="cellIs" dxfId="86" priority="202" operator="equal">
      <formula>"削除済"</formula>
    </cfRule>
    <cfRule type="cellIs" dxfId="85" priority="203" operator="equal">
      <formula>"登録済"</formula>
    </cfRule>
    <cfRule type="cellIs" dxfId="84" priority="204" operator="equal">
      <formula>"依頼中"</formula>
    </cfRule>
  </conditionalFormatting>
  <conditionalFormatting sqref="BU18">
    <cfRule type="cellIs" dxfId="83" priority="196" operator="equal">
      <formula>"削除済"</formula>
    </cfRule>
    <cfRule type="cellIs" dxfId="82" priority="197" operator="equal">
      <formula>"登録済"</formula>
    </cfRule>
    <cfRule type="cellIs" dxfId="81" priority="198" operator="equal">
      <formula>"依頼中"</formula>
    </cfRule>
  </conditionalFormatting>
  <conditionalFormatting sqref="AC18:AR18 AA18 BH18">
    <cfRule type="expression" dxfId="80" priority="192">
      <formula>$C18&lt;&gt;"API管理"</formula>
    </cfRule>
  </conditionalFormatting>
  <conditionalFormatting sqref="AT18:BE18 BI18">
    <cfRule type="expression" dxfId="79" priority="191">
      <formula>$AS18="-"</formula>
    </cfRule>
  </conditionalFormatting>
  <conditionalFormatting sqref="AB18">
    <cfRule type="expression" dxfId="78" priority="190">
      <formula>$C18&lt;&gt;"API管理"</formula>
    </cfRule>
  </conditionalFormatting>
  <conditionalFormatting sqref="CF18:CG18">
    <cfRule type="cellIs" dxfId="77" priority="187" operator="equal">
      <formula>"削除済"</formula>
    </cfRule>
    <cfRule type="cellIs" dxfId="76" priority="188" operator="equal">
      <formula>"登録済"</formula>
    </cfRule>
    <cfRule type="cellIs" dxfId="75" priority="189" operator="equal">
      <formula>"依頼中"</formula>
    </cfRule>
  </conditionalFormatting>
  <conditionalFormatting sqref="AC15:AR15 AA15 BH15">
    <cfRule type="expression" dxfId="74" priority="174">
      <formula>$C15&lt;&gt;"API管理"</formula>
    </cfRule>
  </conditionalFormatting>
  <conditionalFormatting sqref="AT15:BE15 BI15">
    <cfRule type="expression" dxfId="73" priority="173">
      <formula>$AS15="-"</formula>
    </cfRule>
  </conditionalFormatting>
  <conditionalFormatting sqref="AB15">
    <cfRule type="expression" dxfId="72" priority="172">
      <formula>$C15&lt;&gt;"API管理"</formula>
    </cfRule>
  </conditionalFormatting>
  <conditionalFormatting sqref="AC14:AR14 AA14 BH14">
    <cfRule type="expression" dxfId="71" priority="156">
      <formula>$C14&lt;&gt;"API管理"</formula>
    </cfRule>
  </conditionalFormatting>
  <conditionalFormatting sqref="AT14:BE14 BI14">
    <cfRule type="expression" dxfId="70" priority="155">
      <formula>$AS14="-"</formula>
    </cfRule>
  </conditionalFormatting>
  <conditionalFormatting sqref="AB14">
    <cfRule type="expression" dxfId="69" priority="154">
      <formula>$C14&lt;&gt;"API管理"</formula>
    </cfRule>
  </conditionalFormatting>
  <conditionalFormatting sqref="BS13:BS15">
    <cfRule type="cellIs" dxfId="68" priority="148" operator="equal">
      <formula>"削除済"</formula>
    </cfRule>
    <cfRule type="cellIs" dxfId="67" priority="149" operator="equal">
      <formula>"登録済"</formula>
    </cfRule>
    <cfRule type="cellIs" dxfId="66" priority="150" operator="equal">
      <formula>"依頼中"</formula>
    </cfRule>
  </conditionalFormatting>
  <conditionalFormatting sqref="BT13:BT15">
    <cfRule type="cellIs" dxfId="65" priority="145" operator="equal">
      <formula>"削除済"</formula>
    </cfRule>
    <cfRule type="cellIs" dxfId="64" priority="146" operator="equal">
      <formula>"登録済"</formula>
    </cfRule>
    <cfRule type="cellIs" dxfId="63" priority="147" operator="equal">
      <formula>"依頼中"</formula>
    </cfRule>
  </conditionalFormatting>
  <conditionalFormatting sqref="BU12:BU15">
    <cfRule type="cellIs" dxfId="62" priority="142" operator="equal">
      <formula>"削除済"</formula>
    </cfRule>
    <cfRule type="cellIs" dxfId="61" priority="143" operator="equal">
      <formula>"登録済"</formula>
    </cfRule>
    <cfRule type="cellIs" dxfId="60" priority="144" operator="equal">
      <formula>"依頼中"</formula>
    </cfRule>
  </conditionalFormatting>
  <conditionalFormatting sqref="BV13:BV15">
    <cfRule type="cellIs" dxfId="59" priority="139" operator="equal">
      <formula>"削除済"</formula>
    </cfRule>
    <cfRule type="cellIs" dxfId="58" priority="140" operator="equal">
      <formula>"登録済"</formula>
    </cfRule>
    <cfRule type="cellIs" dxfId="57" priority="141" operator="equal">
      <formula>"依頼中"</formula>
    </cfRule>
  </conditionalFormatting>
  <conditionalFormatting sqref="CF10:CF11">
    <cfRule type="cellIs" dxfId="56" priority="106" operator="equal">
      <formula>"削除済"</formula>
    </cfRule>
    <cfRule type="cellIs" dxfId="55" priority="107" operator="equal">
      <formula>"登録済"</formula>
    </cfRule>
    <cfRule type="cellIs" dxfId="54" priority="108" operator="equal">
      <formula>"依頼中"</formula>
    </cfRule>
  </conditionalFormatting>
  <conditionalFormatting sqref="CF13:CF15">
    <cfRule type="cellIs" dxfId="53" priority="103" operator="equal">
      <formula>"削除済"</formula>
    </cfRule>
    <cfRule type="cellIs" dxfId="52" priority="104" operator="equal">
      <formula>"登録済"</formula>
    </cfRule>
    <cfRule type="cellIs" dxfId="51" priority="105" operator="equal">
      <formula>"依頼中"</formula>
    </cfRule>
  </conditionalFormatting>
  <conditionalFormatting sqref="CG10:CG11">
    <cfRule type="cellIs" dxfId="50" priority="73" operator="equal">
      <formula>"削除済"</formula>
    </cfRule>
    <cfRule type="cellIs" dxfId="49" priority="74" operator="equal">
      <formula>"登録済"</formula>
    </cfRule>
    <cfRule type="cellIs" dxfId="48" priority="75" operator="equal">
      <formula>"依頼中"</formula>
    </cfRule>
  </conditionalFormatting>
  <conditionalFormatting sqref="CG13:CG15">
    <cfRule type="cellIs" dxfId="47" priority="70" operator="equal">
      <formula>"削除済"</formula>
    </cfRule>
    <cfRule type="cellIs" dxfId="46" priority="71" operator="equal">
      <formula>"登録済"</formula>
    </cfRule>
    <cfRule type="cellIs" dxfId="45" priority="72" operator="equal">
      <formula>"依頼中"</formula>
    </cfRule>
  </conditionalFormatting>
  <conditionalFormatting sqref="AC17:AR17 AA17 BH17">
    <cfRule type="expression" dxfId="44" priority="69">
      <formula>$C17&lt;&gt;"API管理"</formula>
    </cfRule>
  </conditionalFormatting>
  <conditionalFormatting sqref="AT17:BE17 BI17">
    <cfRule type="expression" dxfId="43" priority="68">
      <formula>$AS17="-"</formula>
    </cfRule>
  </conditionalFormatting>
  <conditionalFormatting sqref="AB17">
    <cfRule type="expression" dxfId="42" priority="67">
      <formula>$C17&lt;&gt;"API管理"</formula>
    </cfRule>
  </conditionalFormatting>
  <conditionalFormatting sqref="CF17">
    <cfRule type="cellIs" dxfId="41" priority="52" operator="equal">
      <formula>"削除済"</formula>
    </cfRule>
    <cfRule type="cellIs" dxfId="40" priority="53" operator="equal">
      <formula>"登録済"</formula>
    </cfRule>
    <cfRule type="cellIs" dxfId="39" priority="54" operator="equal">
      <formula>"依頼中"</formula>
    </cfRule>
  </conditionalFormatting>
  <conditionalFormatting sqref="AC16:AR16 AA16 BH16">
    <cfRule type="expression" dxfId="38" priority="48">
      <formula>$C16&lt;&gt;"API管理"</formula>
    </cfRule>
  </conditionalFormatting>
  <conditionalFormatting sqref="AT16:BE16 BI16">
    <cfRule type="expression" dxfId="37" priority="47">
      <formula>$AS16="-"</formula>
    </cfRule>
  </conditionalFormatting>
  <conditionalFormatting sqref="AB16">
    <cfRule type="expression" dxfId="36" priority="46">
      <formula>$C16&lt;&gt;"API管理"</formula>
    </cfRule>
  </conditionalFormatting>
  <conditionalFormatting sqref="CF16">
    <cfRule type="cellIs" dxfId="35" priority="31" operator="equal">
      <formula>"削除済"</formula>
    </cfRule>
    <cfRule type="cellIs" dxfId="34" priority="32" operator="equal">
      <formula>"登録済"</formula>
    </cfRule>
    <cfRule type="cellIs" dxfId="33" priority="33" operator="equal">
      <formula>"依頼中"</formula>
    </cfRule>
  </conditionalFormatting>
  <conditionalFormatting sqref="CG16">
    <cfRule type="cellIs" dxfId="32" priority="28" operator="equal">
      <formula>"削除済"</formula>
    </cfRule>
    <cfRule type="cellIs" dxfId="31" priority="29" operator="equal">
      <formula>"登録済"</formula>
    </cfRule>
    <cfRule type="cellIs" dxfId="30" priority="30" operator="equal">
      <formula>"依頼中"</formula>
    </cfRule>
  </conditionalFormatting>
  <conditionalFormatting sqref="CG17">
    <cfRule type="cellIs" dxfId="29" priority="25" operator="equal">
      <formula>"削除済"</formula>
    </cfRule>
    <cfRule type="cellIs" dxfId="28" priority="26" operator="equal">
      <formula>"登録済"</formula>
    </cfRule>
    <cfRule type="cellIs" dxfId="27" priority="27" operator="equal">
      <formula>"依頼中"</formula>
    </cfRule>
  </conditionalFormatting>
  <conditionalFormatting sqref="BS17">
    <cfRule type="cellIs" dxfId="26" priority="22" operator="equal">
      <formula>"削除済"</formula>
    </cfRule>
    <cfRule type="cellIs" dxfId="25" priority="23" operator="equal">
      <formula>"登録済"</formula>
    </cfRule>
    <cfRule type="cellIs" dxfId="24" priority="24" operator="equal">
      <formula>"依頼中"</formula>
    </cfRule>
  </conditionalFormatting>
  <conditionalFormatting sqref="BT17">
    <cfRule type="cellIs" dxfId="23" priority="19" operator="equal">
      <formula>"削除済"</formula>
    </cfRule>
    <cfRule type="cellIs" dxfId="22" priority="20" operator="equal">
      <formula>"登録済"</formula>
    </cfRule>
    <cfRule type="cellIs" dxfId="21" priority="21" operator="equal">
      <formula>"依頼中"</formula>
    </cfRule>
  </conditionalFormatting>
  <conditionalFormatting sqref="BU17">
    <cfRule type="cellIs" dxfId="20" priority="16" operator="equal">
      <formula>"削除済"</formula>
    </cfRule>
    <cfRule type="cellIs" dxfId="19" priority="17" operator="equal">
      <formula>"登録済"</formula>
    </cfRule>
    <cfRule type="cellIs" dxfId="18" priority="18" operator="equal">
      <formula>"依頼中"</formula>
    </cfRule>
  </conditionalFormatting>
  <conditionalFormatting sqref="BV17">
    <cfRule type="cellIs" dxfId="17" priority="13" operator="equal">
      <formula>"削除済"</formula>
    </cfRule>
    <cfRule type="cellIs" dxfId="16" priority="14" operator="equal">
      <formula>"登録済"</formula>
    </cfRule>
    <cfRule type="cellIs" dxfId="15" priority="15" operator="equal">
      <formula>"依頼中"</formula>
    </cfRule>
  </conditionalFormatting>
  <conditionalFormatting sqref="BS16">
    <cfRule type="cellIs" dxfId="14" priority="10" operator="equal">
      <formula>"削除済"</formula>
    </cfRule>
    <cfRule type="cellIs" dxfId="13" priority="11" operator="equal">
      <formula>"登録済"</formula>
    </cfRule>
    <cfRule type="cellIs" dxfId="12" priority="12" operator="equal">
      <formula>"依頼中"</formula>
    </cfRule>
  </conditionalFormatting>
  <conditionalFormatting sqref="BT16">
    <cfRule type="cellIs" dxfId="11" priority="7" operator="equal">
      <formula>"削除済"</formula>
    </cfRule>
    <cfRule type="cellIs" dxfId="10" priority="8" operator="equal">
      <formula>"登録済"</formula>
    </cfRule>
    <cfRule type="cellIs" dxfId="9" priority="9" operator="equal">
      <formula>"依頼中"</formula>
    </cfRule>
  </conditionalFormatting>
  <conditionalFormatting sqref="BU16">
    <cfRule type="cellIs" dxfId="8" priority="4" operator="equal">
      <formula>"削除済"</formula>
    </cfRule>
    <cfRule type="cellIs" dxfId="7" priority="5" operator="equal">
      <formula>"登録済"</formula>
    </cfRule>
    <cfRule type="cellIs" dxfId="6" priority="6" operator="equal">
      <formula>"依頼中"</formula>
    </cfRule>
  </conditionalFormatting>
  <conditionalFormatting sqref="BV16">
    <cfRule type="cellIs" dxfId="5" priority="1" operator="equal">
      <formula>"削除済"</formula>
    </cfRule>
    <cfRule type="cellIs" dxfId="4" priority="2" operator="equal">
      <formula>"登録済"</formula>
    </cfRule>
    <cfRule type="cellIs" dxfId="3" priority="3" operator="equal">
      <formula>"依頼中"</formula>
    </cfRule>
  </conditionalFormatting>
  <dataValidations count="2">
    <dataValidation type="list" allowBlank="1" showInputMessage="1" showErrorMessage="1" sqref="CE18 CF9:CF18 BR9:BR18" xr:uid="{00000000-0002-0000-0000-000001000000}">
      <formula1>"　,✔"</formula1>
    </dataValidation>
    <dataValidation type="list" allowBlank="1" showInputMessage="1" showErrorMessage="1" sqref="CG9:CG18 BS9:BV18" xr:uid="{00000000-0002-0000-0000-000000000000}">
      <formula1>"未登録,依頼中,登録済,削除済"</formula1>
    </dataValidation>
  </dataValidations>
  <hyperlinks>
    <hyperlink ref="E1" location="'API Managing Sheet'!BJ7" display="シナリオ参照" xr:uid="{00000000-0004-0000-0000-000000000000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F90"/>
  <sheetViews>
    <sheetView zoomScale="80" zoomScaleNormal="80" workbookViewId="0">
      <selection activeCell="E17" sqref="E17"/>
    </sheetView>
  </sheetViews>
  <sheetFormatPr defaultColWidth="8.81640625" defaultRowHeight="15" x14ac:dyDescent="0.3"/>
  <cols>
    <col min="1" max="1" width="8.81640625" style="33"/>
    <col min="2" max="2" width="21.08984375" style="33" bestFit="1" customWidth="1"/>
    <col min="3" max="3" width="21.08984375" style="33" customWidth="1"/>
    <col min="4" max="4" width="21.54296875" style="33" bestFit="1" customWidth="1"/>
    <col min="5" max="5" width="21.54296875" style="33" customWidth="1"/>
    <col min="6" max="6" width="55.1796875" style="33" customWidth="1"/>
    <col min="7" max="7" width="14.1796875" style="33" bestFit="1" customWidth="1"/>
    <col min="8" max="16384" width="8.81640625" style="33"/>
  </cols>
  <sheetData>
    <row r="1" spans="1:7" x14ac:dyDescent="0.3">
      <c r="A1" s="38" t="s">
        <v>90</v>
      </c>
    </row>
    <row r="2" spans="1:7" ht="37.200000000000003" x14ac:dyDescent="0.3">
      <c r="B2" s="34" t="s">
        <v>88</v>
      </c>
      <c r="C2" s="34" t="s">
        <v>113</v>
      </c>
      <c r="D2" s="35" t="s">
        <v>87</v>
      </c>
      <c r="E2" s="35" t="s">
        <v>143</v>
      </c>
      <c r="F2" s="35" t="s">
        <v>86</v>
      </c>
      <c r="G2" s="35" t="s">
        <v>89</v>
      </c>
    </row>
    <row r="3" spans="1:7" ht="18.600000000000001" x14ac:dyDescent="0.3">
      <c r="B3" s="36" t="s">
        <v>114</v>
      </c>
      <c r="C3" s="36" t="s">
        <v>115</v>
      </c>
      <c r="D3" s="36" t="s">
        <v>116</v>
      </c>
      <c r="E3" s="36" t="s">
        <v>144</v>
      </c>
      <c r="F3" s="37" t="s">
        <v>117</v>
      </c>
      <c r="G3" s="37">
        <v>80</v>
      </c>
    </row>
    <row r="4" spans="1:7" ht="18.600000000000001" x14ac:dyDescent="0.3">
      <c r="B4" s="36" t="s">
        <v>118</v>
      </c>
      <c r="C4" s="36" t="s">
        <v>119</v>
      </c>
      <c r="D4" s="36" t="s">
        <v>120</v>
      </c>
      <c r="E4" s="36" t="s">
        <v>144</v>
      </c>
      <c r="F4" s="37" t="s">
        <v>121</v>
      </c>
      <c r="G4" s="37">
        <v>80</v>
      </c>
    </row>
    <row r="5" spans="1:7" ht="18.600000000000001" x14ac:dyDescent="0.3">
      <c r="B5" s="36" t="s">
        <v>140</v>
      </c>
      <c r="C5" s="36" t="s">
        <v>119</v>
      </c>
      <c r="D5" s="36" t="s">
        <v>138</v>
      </c>
      <c r="E5" s="36" t="s">
        <v>144</v>
      </c>
      <c r="F5" s="36" t="s">
        <v>137</v>
      </c>
      <c r="G5" s="36">
        <v>8080</v>
      </c>
    </row>
    <row r="6" spans="1:7" ht="18.600000000000001" x14ac:dyDescent="0.3">
      <c r="B6" s="36" t="s">
        <v>122</v>
      </c>
      <c r="C6" s="36" t="s">
        <v>123</v>
      </c>
      <c r="D6" s="36" t="s">
        <v>124</v>
      </c>
      <c r="E6" s="36" t="s">
        <v>124</v>
      </c>
      <c r="F6" s="37" t="s">
        <v>125</v>
      </c>
      <c r="G6" s="37">
        <v>80</v>
      </c>
    </row>
    <row r="7" spans="1:7" ht="18.600000000000001" x14ac:dyDescent="0.3">
      <c r="B7" s="36" t="s">
        <v>126</v>
      </c>
      <c r="C7" s="36" t="s">
        <v>127</v>
      </c>
      <c r="D7" s="36" t="s">
        <v>128</v>
      </c>
      <c r="E7" s="36" t="s">
        <v>128</v>
      </c>
      <c r="F7" s="37" t="s">
        <v>129</v>
      </c>
      <c r="G7" s="37">
        <v>80</v>
      </c>
    </row>
    <row r="8" spans="1:7" ht="18.600000000000001" x14ac:dyDescent="0.3">
      <c r="B8" s="36" t="s">
        <v>130</v>
      </c>
      <c r="C8" s="36" t="s">
        <v>139</v>
      </c>
      <c r="D8" s="36" t="s">
        <v>131</v>
      </c>
      <c r="E8" s="36" t="s">
        <v>131</v>
      </c>
      <c r="F8" s="37" t="s">
        <v>132</v>
      </c>
      <c r="G8" s="37">
        <v>80</v>
      </c>
    </row>
    <row r="9" spans="1:7" ht="18.600000000000001" x14ac:dyDescent="0.3">
      <c r="B9" s="36" t="s">
        <v>133</v>
      </c>
      <c r="C9" s="36" t="s">
        <v>134</v>
      </c>
      <c r="D9" s="36" t="s">
        <v>135</v>
      </c>
      <c r="E9" s="36" t="s">
        <v>135</v>
      </c>
      <c r="F9" s="37" t="s">
        <v>136</v>
      </c>
      <c r="G9" s="37">
        <v>80</v>
      </c>
    </row>
    <row r="10" spans="1:7" ht="18.600000000000001" x14ac:dyDescent="0.3">
      <c r="B10" s="36" t="s">
        <v>190</v>
      </c>
      <c r="C10" s="36" t="s">
        <v>115</v>
      </c>
      <c r="D10" s="36" t="s">
        <v>191</v>
      </c>
      <c r="E10" s="36" t="s">
        <v>144</v>
      </c>
      <c r="F10" s="37" t="s">
        <v>192</v>
      </c>
      <c r="G10" s="37">
        <v>80</v>
      </c>
    </row>
    <row r="11" spans="1:7" ht="18.600000000000001" x14ac:dyDescent="0.3">
      <c r="B11" s="36" t="s">
        <v>194</v>
      </c>
      <c r="C11" s="36" t="s">
        <v>197</v>
      </c>
      <c r="D11" s="36" t="s">
        <v>195</v>
      </c>
      <c r="E11" s="36" t="s">
        <v>144</v>
      </c>
      <c r="F11" s="37" t="s">
        <v>196</v>
      </c>
      <c r="G11" s="37">
        <v>80</v>
      </c>
    </row>
    <row r="12" spans="1:7" ht="18.600000000000001" x14ac:dyDescent="0.3">
      <c r="B12" s="36" t="s">
        <v>200</v>
      </c>
      <c r="C12" s="36" t="s">
        <v>115</v>
      </c>
      <c r="D12" s="36" t="s">
        <v>201</v>
      </c>
      <c r="E12" s="36" t="s">
        <v>144</v>
      </c>
      <c r="F12" s="37" t="s">
        <v>202</v>
      </c>
      <c r="G12" s="37">
        <v>80</v>
      </c>
    </row>
    <row r="13" spans="1:7" ht="18.600000000000001" x14ac:dyDescent="0.3">
      <c r="B13" s="36" t="s">
        <v>203</v>
      </c>
      <c r="C13" s="36" t="s">
        <v>115</v>
      </c>
      <c r="D13" s="36" t="s">
        <v>204</v>
      </c>
      <c r="E13" s="36" t="s">
        <v>144</v>
      </c>
      <c r="F13" s="37" t="s">
        <v>205</v>
      </c>
      <c r="G13" s="37">
        <v>80</v>
      </c>
    </row>
    <row r="14" spans="1:7" ht="18.600000000000001" x14ac:dyDescent="0.3">
      <c r="B14" s="36" t="s">
        <v>208</v>
      </c>
      <c r="C14" s="36" t="s">
        <v>115</v>
      </c>
      <c r="D14" s="36" t="s">
        <v>206</v>
      </c>
      <c r="E14" s="36" t="s">
        <v>144</v>
      </c>
      <c r="F14" s="37" t="s">
        <v>207</v>
      </c>
      <c r="G14" s="36">
        <v>80</v>
      </c>
    </row>
    <row r="15" spans="1:7" ht="18.600000000000001" x14ac:dyDescent="0.3">
      <c r="B15" s="36" t="s">
        <v>216</v>
      </c>
      <c r="C15" s="36" t="s">
        <v>213</v>
      </c>
      <c r="D15" s="36" t="s">
        <v>214</v>
      </c>
      <c r="E15" s="36" t="s">
        <v>144</v>
      </c>
      <c r="F15" s="37" t="s">
        <v>215</v>
      </c>
      <c r="G15" s="37">
        <v>80</v>
      </c>
    </row>
    <row r="16" spans="1:7" ht="18.600000000000001" x14ac:dyDescent="0.3">
      <c r="B16" s="36" t="s">
        <v>223</v>
      </c>
      <c r="C16" s="36" t="s">
        <v>224</v>
      </c>
      <c r="D16" s="36" t="s">
        <v>225</v>
      </c>
      <c r="E16" s="36" t="s">
        <v>144</v>
      </c>
      <c r="F16" s="37" t="s">
        <v>226</v>
      </c>
      <c r="G16" s="37">
        <v>80</v>
      </c>
    </row>
    <row r="17" spans="2:7" ht="18.600000000000001" x14ac:dyDescent="0.3">
      <c r="B17" s="36"/>
      <c r="C17" s="36"/>
      <c r="D17" s="36"/>
      <c r="E17" s="36"/>
      <c r="F17" s="36"/>
      <c r="G17" s="36"/>
    </row>
    <row r="18" spans="2:7" ht="18.600000000000001" x14ac:dyDescent="0.3">
      <c r="B18" s="36"/>
      <c r="C18" s="36"/>
      <c r="D18" s="36"/>
      <c r="E18" s="36"/>
      <c r="F18" s="36"/>
      <c r="G18" s="36"/>
    </row>
    <row r="19" spans="2:7" ht="18.600000000000001" x14ac:dyDescent="0.3">
      <c r="B19" s="36"/>
      <c r="C19" s="36"/>
      <c r="D19" s="36"/>
      <c r="E19" s="36"/>
      <c r="F19" s="36"/>
      <c r="G19" s="36"/>
    </row>
    <row r="20" spans="2:7" ht="18.600000000000001" x14ac:dyDescent="0.3">
      <c r="B20" s="36"/>
      <c r="C20" s="36"/>
      <c r="D20" s="36"/>
      <c r="E20" s="36"/>
      <c r="F20" s="36"/>
      <c r="G20" s="36"/>
    </row>
    <row r="21" spans="2:7" ht="18.600000000000001" x14ac:dyDescent="0.3">
      <c r="B21" s="36"/>
      <c r="C21" s="36"/>
      <c r="D21" s="36"/>
      <c r="E21" s="36"/>
      <c r="F21" s="36"/>
      <c r="G21" s="36"/>
    </row>
    <row r="22" spans="2:7" ht="18.600000000000001" x14ac:dyDescent="0.3">
      <c r="B22" s="36"/>
      <c r="C22" s="36"/>
      <c r="D22" s="36"/>
      <c r="E22" s="36"/>
      <c r="F22" s="36"/>
      <c r="G22" s="36"/>
    </row>
    <row r="23" spans="2:7" ht="18.600000000000001" x14ac:dyDescent="0.3">
      <c r="B23" s="36"/>
      <c r="C23" s="36"/>
      <c r="D23" s="36"/>
      <c r="E23" s="36"/>
      <c r="F23" s="36"/>
      <c r="G23" s="36"/>
    </row>
    <row r="24" spans="2:7" ht="18.600000000000001" x14ac:dyDescent="0.3">
      <c r="B24" s="36"/>
      <c r="C24" s="36"/>
      <c r="D24" s="36"/>
      <c r="E24" s="36"/>
      <c r="F24" s="36"/>
      <c r="G24" s="36"/>
    </row>
    <row r="25" spans="2:7" ht="18.600000000000001" x14ac:dyDescent="0.3">
      <c r="B25" s="36"/>
      <c r="C25" s="36"/>
      <c r="D25" s="36"/>
      <c r="E25" s="36"/>
      <c r="F25" s="36"/>
      <c r="G25" s="36"/>
    </row>
    <row r="26" spans="2:7" ht="18.600000000000001" x14ac:dyDescent="0.3">
      <c r="B26" s="36"/>
      <c r="C26" s="36"/>
      <c r="D26" s="36"/>
      <c r="E26" s="36"/>
      <c r="F26" s="36"/>
      <c r="G26" s="36"/>
    </row>
    <row r="27" spans="2:7" ht="18.600000000000001" x14ac:dyDescent="0.3">
      <c r="B27" s="36"/>
      <c r="C27" s="36"/>
      <c r="D27" s="36"/>
      <c r="E27" s="36"/>
      <c r="F27" s="36"/>
      <c r="G27" s="36"/>
    </row>
    <row r="28" spans="2:7" ht="18.600000000000001" x14ac:dyDescent="0.3">
      <c r="B28" s="36"/>
      <c r="C28" s="36"/>
      <c r="D28" s="36"/>
      <c r="E28" s="36"/>
      <c r="F28" s="36"/>
      <c r="G28" s="36"/>
    </row>
    <row r="29" spans="2:7" ht="18.600000000000001" x14ac:dyDescent="0.3">
      <c r="B29" s="36"/>
      <c r="C29" s="36"/>
      <c r="D29" s="36"/>
      <c r="E29" s="36"/>
      <c r="F29" s="36"/>
      <c r="G29" s="36"/>
    </row>
    <row r="30" spans="2:7" ht="18.600000000000001" x14ac:dyDescent="0.3">
      <c r="B30" s="36"/>
      <c r="C30" s="36"/>
      <c r="D30" s="36"/>
      <c r="E30" s="36"/>
      <c r="F30" s="36"/>
      <c r="G30" s="36"/>
    </row>
    <row r="31" spans="2:7" ht="18.600000000000001" x14ac:dyDescent="0.3">
      <c r="B31" s="36"/>
      <c r="C31" s="36"/>
      <c r="D31" s="36"/>
      <c r="E31" s="36"/>
      <c r="F31" s="36"/>
      <c r="G31" s="36"/>
    </row>
    <row r="32" spans="2:7" ht="18.600000000000001" x14ac:dyDescent="0.3">
      <c r="B32" s="36"/>
      <c r="C32" s="36"/>
      <c r="D32" s="36"/>
      <c r="E32" s="36"/>
      <c r="F32" s="36"/>
      <c r="G32" s="36"/>
    </row>
    <row r="33" spans="2:7" ht="18.600000000000001" x14ac:dyDescent="0.3">
      <c r="B33" s="36"/>
      <c r="C33" s="36"/>
      <c r="D33" s="36"/>
      <c r="E33" s="36"/>
      <c r="F33" s="36"/>
      <c r="G33" s="36"/>
    </row>
    <row r="34" spans="2:7" ht="18.600000000000001" x14ac:dyDescent="0.3">
      <c r="B34" s="36"/>
      <c r="C34" s="36"/>
      <c r="D34" s="36"/>
      <c r="E34" s="36"/>
      <c r="F34" s="36"/>
      <c r="G34" s="36"/>
    </row>
    <row r="35" spans="2:7" ht="18.600000000000001" x14ac:dyDescent="0.3">
      <c r="B35" s="36"/>
      <c r="C35" s="36"/>
      <c r="D35" s="36"/>
      <c r="E35" s="36"/>
      <c r="F35" s="36"/>
      <c r="G35" s="36"/>
    </row>
    <row r="36" spans="2:7" ht="18.600000000000001" x14ac:dyDescent="0.3">
      <c r="B36" s="36"/>
      <c r="C36" s="36"/>
      <c r="D36" s="36"/>
      <c r="E36" s="36"/>
      <c r="F36" s="36"/>
      <c r="G36" s="36"/>
    </row>
    <row r="37" spans="2:7" ht="18.600000000000001" x14ac:dyDescent="0.3">
      <c r="B37" s="36"/>
      <c r="C37" s="36"/>
      <c r="D37" s="36"/>
      <c r="E37" s="36"/>
      <c r="F37" s="36"/>
      <c r="G37" s="36"/>
    </row>
    <row r="38" spans="2:7" ht="18.600000000000001" x14ac:dyDescent="0.3">
      <c r="B38" s="36"/>
      <c r="C38" s="36"/>
      <c r="D38" s="36"/>
      <c r="E38" s="36"/>
      <c r="F38" s="36"/>
      <c r="G38" s="36"/>
    </row>
    <row r="39" spans="2:7" ht="18.600000000000001" x14ac:dyDescent="0.3">
      <c r="B39" s="36"/>
      <c r="C39" s="36"/>
      <c r="D39" s="36"/>
      <c r="E39" s="36"/>
      <c r="F39" s="36"/>
      <c r="G39" s="36"/>
    </row>
    <row r="40" spans="2:7" ht="18.600000000000001" x14ac:dyDescent="0.3">
      <c r="B40" s="36"/>
      <c r="C40" s="36"/>
      <c r="D40" s="36"/>
      <c r="E40" s="36"/>
      <c r="F40" s="36"/>
      <c r="G40" s="36"/>
    </row>
    <row r="41" spans="2:7" ht="18.600000000000001" x14ac:dyDescent="0.3">
      <c r="B41" s="36"/>
      <c r="C41" s="36"/>
      <c r="D41" s="36"/>
      <c r="E41" s="36"/>
      <c r="F41" s="36"/>
      <c r="G41" s="36"/>
    </row>
    <row r="42" spans="2:7" ht="18.600000000000001" x14ac:dyDescent="0.3">
      <c r="B42" s="36"/>
      <c r="C42" s="36"/>
      <c r="D42" s="36"/>
      <c r="E42" s="36"/>
      <c r="F42" s="36"/>
      <c r="G42" s="36"/>
    </row>
    <row r="43" spans="2:7" ht="18.600000000000001" x14ac:dyDescent="0.3">
      <c r="B43" s="36"/>
      <c r="C43" s="36"/>
      <c r="D43" s="36"/>
      <c r="E43" s="36"/>
      <c r="F43" s="36"/>
      <c r="G43" s="36"/>
    </row>
    <row r="44" spans="2:7" ht="18.600000000000001" x14ac:dyDescent="0.3">
      <c r="B44" s="36"/>
      <c r="C44" s="36"/>
      <c r="D44" s="36"/>
      <c r="E44" s="36"/>
      <c r="F44" s="36"/>
      <c r="G44" s="36"/>
    </row>
    <row r="45" spans="2:7" ht="18.600000000000001" x14ac:dyDescent="0.3">
      <c r="B45" s="36"/>
      <c r="C45" s="36"/>
      <c r="D45" s="36"/>
      <c r="E45" s="36"/>
      <c r="F45" s="36"/>
      <c r="G45" s="36"/>
    </row>
    <row r="46" spans="2:7" ht="18.600000000000001" x14ac:dyDescent="0.3">
      <c r="B46" s="36"/>
      <c r="C46" s="36"/>
      <c r="D46" s="36"/>
      <c r="E46" s="36"/>
      <c r="F46" s="36"/>
      <c r="G46" s="36"/>
    </row>
    <row r="47" spans="2:7" ht="18.600000000000001" x14ac:dyDescent="0.3">
      <c r="B47" s="36"/>
      <c r="C47" s="36"/>
      <c r="D47" s="36"/>
      <c r="E47" s="36"/>
      <c r="F47" s="36"/>
      <c r="G47" s="36"/>
    </row>
    <row r="48" spans="2:7" ht="18.600000000000001" x14ac:dyDescent="0.3">
      <c r="B48" s="36"/>
      <c r="C48" s="36"/>
      <c r="D48" s="36"/>
      <c r="E48" s="36"/>
      <c r="F48" s="36"/>
      <c r="G48" s="36"/>
    </row>
    <row r="49" spans="2:58" ht="18.600000000000001" x14ac:dyDescent="0.3">
      <c r="B49" s="36"/>
      <c r="C49" s="36"/>
      <c r="D49" s="36"/>
      <c r="E49" s="36"/>
      <c r="F49" s="36"/>
      <c r="G49" s="36"/>
    </row>
    <row r="50" spans="2:58" ht="18.600000000000001" x14ac:dyDescent="0.3">
      <c r="B50" s="36"/>
      <c r="C50" s="36"/>
      <c r="D50" s="36"/>
      <c r="E50" s="36"/>
      <c r="F50" s="36"/>
      <c r="G50" s="36"/>
    </row>
    <row r="51" spans="2:58" ht="18.600000000000001" x14ac:dyDescent="0.3">
      <c r="B51" s="36"/>
      <c r="C51" s="36"/>
      <c r="D51" s="36"/>
      <c r="E51" s="36"/>
      <c r="F51" s="36"/>
      <c r="G51" s="36"/>
    </row>
    <row r="52" spans="2:58" ht="18.600000000000001" x14ac:dyDescent="0.3">
      <c r="B52" s="36"/>
      <c r="C52" s="36"/>
      <c r="D52" s="36"/>
      <c r="E52" s="36"/>
      <c r="F52" s="36"/>
      <c r="G52" s="36"/>
    </row>
    <row r="53" spans="2:58" ht="18.600000000000001" x14ac:dyDescent="0.3">
      <c r="B53" s="36"/>
      <c r="C53" s="36"/>
      <c r="D53" s="36"/>
      <c r="E53" s="36"/>
      <c r="F53" s="36"/>
      <c r="G53" s="36"/>
    </row>
    <row r="54" spans="2:58" ht="18.600000000000001" x14ac:dyDescent="0.3">
      <c r="B54" s="36"/>
      <c r="C54" s="36"/>
      <c r="D54" s="36"/>
      <c r="E54" s="36"/>
      <c r="F54" s="36"/>
      <c r="G54" s="36"/>
    </row>
    <row r="55" spans="2:58" ht="18.600000000000001" x14ac:dyDescent="0.3">
      <c r="B55" s="36"/>
      <c r="C55" s="36"/>
      <c r="D55" s="36"/>
      <c r="E55" s="36"/>
      <c r="F55" s="36"/>
      <c r="G55" s="36"/>
    </row>
    <row r="56" spans="2:58" ht="18.600000000000001" x14ac:dyDescent="0.3">
      <c r="B56" s="36"/>
      <c r="C56" s="36"/>
      <c r="D56" s="36"/>
      <c r="E56" s="36"/>
      <c r="F56" s="36"/>
      <c r="G56" s="36"/>
      <c r="O56" s="38"/>
      <c r="P56" s="38"/>
      <c r="Q56" s="38"/>
      <c r="R56" s="38"/>
      <c r="S56" s="38"/>
      <c r="BE56" s="38"/>
      <c r="BF56" s="38"/>
    </row>
    <row r="57" spans="2:58" ht="18.600000000000001" x14ac:dyDescent="0.3">
      <c r="B57" s="36"/>
      <c r="C57" s="36"/>
      <c r="D57" s="36"/>
      <c r="E57" s="36"/>
      <c r="F57" s="36"/>
      <c r="G57" s="36"/>
      <c r="O57" s="38"/>
      <c r="P57" s="38"/>
      <c r="Q57" s="38"/>
      <c r="R57" s="38"/>
      <c r="S57" s="38"/>
      <c r="BE57" s="38"/>
      <c r="BF57" s="38"/>
    </row>
    <row r="58" spans="2:58" ht="18.600000000000001" x14ac:dyDescent="0.3">
      <c r="B58" s="36"/>
      <c r="C58" s="36"/>
      <c r="D58" s="36"/>
      <c r="E58" s="36"/>
      <c r="F58" s="36"/>
      <c r="G58" s="36"/>
      <c r="O58" s="38"/>
      <c r="P58" s="38"/>
      <c r="Q58" s="38"/>
      <c r="R58" s="38"/>
      <c r="S58" s="38"/>
      <c r="BE58" s="38"/>
      <c r="BF58" s="38"/>
    </row>
    <row r="59" spans="2:58" ht="18.600000000000001" x14ac:dyDescent="0.3">
      <c r="B59" s="36"/>
      <c r="C59" s="36"/>
      <c r="D59" s="36"/>
      <c r="E59" s="36"/>
      <c r="F59" s="36"/>
      <c r="G59" s="36"/>
      <c r="O59" s="38"/>
      <c r="P59" s="38"/>
      <c r="Q59" s="38"/>
      <c r="R59" s="38"/>
      <c r="S59" s="38"/>
      <c r="BE59" s="38"/>
      <c r="BF59" s="38"/>
    </row>
    <row r="60" spans="2:58" ht="18.600000000000001" x14ac:dyDescent="0.3">
      <c r="B60" s="36"/>
      <c r="C60" s="36"/>
      <c r="D60" s="36"/>
      <c r="E60" s="36"/>
      <c r="F60" s="36"/>
      <c r="G60" s="36"/>
      <c r="O60" s="38"/>
      <c r="P60" s="38"/>
      <c r="Q60" s="38"/>
      <c r="R60" s="38"/>
      <c r="S60" s="38"/>
      <c r="BE60" s="38"/>
      <c r="BF60" s="38"/>
    </row>
    <row r="61" spans="2:58" ht="18.600000000000001" x14ac:dyDescent="0.3">
      <c r="B61" s="36"/>
      <c r="C61" s="36"/>
      <c r="D61" s="36"/>
      <c r="E61" s="36"/>
      <c r="F61" s="36"/>
      <c r="G61" s="36"/>
      <c r="O61" s="38"/>
      <c r="P61" s="38"/>
      <c r="Q61" s="38"/>
      <c r="R61" s="38"/>
      <c r="S61" s="38"/>
      <c r="BE61" s="38"/>
      <c r="BF61" s="38"/>
    </row>
    <row r="62" spans="2:58" ht="18.600000000000001" x14ac:dyDescent="0.3">
      <c r="B62" s="36"/>
      <c r="C62" s="36"/>
      <c r="D62" s="36"/>
      <c r="E62" s="36"/>
      <c r="F62" s="36"/>
      <c r="G62" s="36"/>
      <c r="O62" s="38"/>
      <c r="P62" s="38"/>
      <c r="Q62" s="38"/>
      <c r="R62" s="38"/>
      <c r="S62" s="38"/>
      <c r="BE62" s="38"/>
      <c r="BF62" s="38"/>
    </row>
    <row r="63" spans="2:58" ht="18.600000000000001" x14ac:dyDescent="0.3">
      <c r="B63" s="36"/>
      <c r="C63" s="36"/>
      <c r="D63" s="36"/>
      <c r="E63" s="36"/>
      <c r="F63" s="36"/>
      <c r="G63" s="36"/>
      <c r="O63" s="38"/>
      <c r="P63" s="38"/>
      <c r="Q63" s="38"/>
      <c r="R63" s="38"/>
      <c r="S63" s="38"/>
      <c r="BE63" s="38"/>
      <c r="BF63" s="38"/>
    </row>
    <row r="64" spans="2:58" ht="18.600000000000001" x14ac:dyDescent="0.3">
      <c r="B64" s="36"/>
      <c r="C64" s="36"/>
      <c r="D64" s="36"/>
      <c r="E64" s="36"/>
      <c r="F64" s="36"/>
      <c r="G64" s="36"/>
      <c r="O64" s="38"/>
      <c r="P64" s="38"/>
      <c r="Q64" s="38"/>
      <c r="R64" s="38"/>
      <c r="S64" s="38"/>
      <c r="BE64" s="38"/>
      <c r="BF64" s="38"/>
    </row>
    <row r="65" spans="2:58" ht="18.600000000000001" x14ac:dyDescent="0.3">
      <c r="B65" s="36"/>
      <c r="C65" s="36"/>
      <c r="D65" s="36"/>
      <c r="E65" s="36"/>
      <c r="F65" s="36"/>
      <c r="G65" s="36"/>
      <c r="O65" s="38"/>
      <c r="P65" s="38"/>
      <c r="Q65" s="38"/>
      <c r="R65" s="38"/>
      <c r="S65" s="38"/>
      <c r="BE65" s="38"/>
      <c r="BF65" s="38"/>
    </row>
    <row r="66" spans="2:58" ht="18.600000000000001" x14ac:dyDescent="0.3">
      <c r="B66" s="36"/>
      <c r="C66" s="36"/>
      <c r="D66" s="36"/>
      <c r="E66" s="36"/>
      <c r="F66" s="36"/>
      <c r="G66" s="36"/>
      <c r="O66" s="38"/>
      <c r="P66" s="38"/>
      <c r="Q66" s="38"/>
      <c r="R66" s="38"/>
      <c r="S66" s="38"/>
      <c r="BE66" s="38"/>
      <c r="BF66" s="38"/>
    </row>
    <row r="67" spans="2:58" ht="18.600000000000001" x14ac:dyDescent="0.3">
      <c r="B67" s="36"/>
      <c r="C67" s="36"/>
      <c r="D67" s="36"/>
      <c r="E67" s="36"/>
      <c r="F67" s="36"/>
      <c r="G67" s="36"/>
      <c r="O67" s="38"/>
      <c r="P67" s="38"/>
      <c r="Q67" s="38"/>
      <c r="R67" s="38"/>
      <c r="S67" s="38"/>
      <c r="BE67" s="38"/>
      <c r="BF67" s="38"/>
    </row>
    <row r="68" spans="2:58" ht="18.600000000000001" x14ac:dyDescent="0.3">
      <c r="B68" s="36"/>
      <c r="C68" s="36"/>
      <c r="D68" s="36"/>
      <c r="E68" s="36"/>
      <c r="F68" s="36"/>
      <c r="G68" s="36"/>
      <c r="O68" s="38"/>
      <c r="P68" s="38"/>
      <c r="Q68" s="38"/>
      <c r="R68" s="38"/>
      <c r="S68" s="38"/>
      <c r="BE68" s="38"/>
      <c r="BF68" s="38"/>
    </row>
    <row r="69" spans="2:58" x14ac:dyDescent="0.3">
      <c r="O69" s="38"/>
      <c r="P69" s="38"/>
      <c r="Q69" s="38"/>
      <c r="R69" s="38"/>
      <c r="S69" s="38"/>
      <c r="BE69" s="38"/>
      <c r="BF69" s="38"/>
    </row>
    <row r="70" spans="2:58" x14ac:dyDescent="0.3">
      <c r="O70" s="38"/>
      <c r="P70" s="38"/>
      <c r="Q70" s="38"/>
      <c r="R70" s="38"/>
      <c r="S70" s="38"/>
      <c r="BE70" s="38"/>
      <c r="BF70" s="38"/>
    </row>
    <row r="71" spans="2:58" x14ac:dyDescent="0.3">
      <c r="O71" s="38"/>
      <c r="P71" s="38"/>
      <c r="Q71" s="38"/>
      <c r="R71" s="38"/>
      <c r="S71" s="38"/>
      <c r="BE71" s="38"/>
      <c r="BF71" s="38"/>
    </row>
    <row r="72" spans="2:58" x14ac:dyDescent="0.3">
      <c r="O72" s="38"/>
      <c r="P72" s="38"/>
      <c r="Q72" s="38"/>
      <c r="R72" s="38"/>
      <c r="S72" s="38"/>
      <c r="BE72" s="38"/>
      <c r="BF72" s="38"/>
    </row>
    <row r="73" spans="2:58" x14ac:dyDescent="0.3">
      <c r="O73" s="38"/>
      <c r="P73" s="38"/>
      <c r="Q73" s="38"/>
      <c r="R73" s="38"/>
      <c r="S73" s="38"/>
      <c r="BE73" s="38"/>
      <c r="BF73" s="38"/>
    </row>
    <row r="74" spans="2:58" x14ac:dyDescent="0.3">
      <c r="O74" s="38"/>
      <c r="P74" s="38"/>
      <c r="Q74" s="38"/>
      <c r="R74" s="38"/>
      <c r="S74" s="38"/>
      <c r="BE74" s="38"/>
      <c r="BF74" s="38"/>
    </row>
    <row r="79" spans="2:58" x14ac:dyDescent="0.3">
      <c r="O79" s="38"/>
      <c r="P79" s="38"/>
      <c r="Q79" s="38"/>
      <c r="R79" s="38"/>
      <c r="S79" s="38"/>
      <c r="BE79" s="38"/>
      <c r="BF79" s="38"/>
    </row>
    <row r="80" spans="2:58" x14ac:dyDescent="0.3">
      <c r="O80" s="38"/>
      <c r="P80" s="38"/>
      <c r="Q80" s="38"/>
      <c r="R80" s="38"/>
      <c r="S80" s="38"/>
      <c r="BE80" s="38"/>
      <c r="BF80" s="38"/>
    </row>
    <row r="81" spans="15:58" x14ac:dyDescent="0.3">
      <c r="O81" s="38"/>
      <c r="P81" s="38"/>
      <c r="Q81" s="38"/>
      <c r="R81" s="38"/>
      <c r="S81" s="38"/>
      <c r="BE81" s="38"/>
      <c r="BF81" s="38"/>
    </row>
    <row r="82" spans="15:58" x14ac:dyDescent="0.3">
      <c r="O82" s="38"/>
      <c r="P82" s="38"/>
      <c r="Q82" s="38"/>
      <c r="R82" s="38"/>
      <c r="S82" s="38"/>
      <c r="BE82" s="38"/>
      <c r="BF82" s="38"/>
    </row>
    <row r="83" spans="15:58" x14ac:dyDescent="0.3">
      <c r="O83" s="38"/>
      <c r="P83" s="38"/>
      <c r="Q83" s="38"/>
      <c r="R83" s="38"/>
      <c r="S83" s="38"/>
      <c r="BE83" s="38"/>
      <c r="BF83" s="38"/>
    </row>
    <row r="84" spans="15:58" x14ac:dyDescent="0.3">
      <c r="O84" s="38"/>
      <c r="P84" s="38"/>
      <c r="Q84" s="38"/>
      <c r="R84" s="38"/>
      <c r="S84" s="38"/>
      <c r="BE84" s="38"/>
      <c r="BF84" s="38"/>
    </row>
    <row r="85" spans="15:58" x14ac:dyDescent="0.3">
      <c r="O85" s="38"/>
      <c r="P85" s="38"/>
      <c r="Q85" s="38"/>
      <c r="R85" s="38"/>
      <c r="S85" s="38"/>
      <c r="BE85" s="38"/>
      <c r="BF85" s="38"/>
    </row>
    <row r="87" spans="15:58" x14ac:dyDescent="0.3">
      <c r="O87" s="38"/>
      <c r="P87" s="38"/>
      <c r="Q87" s="38"/>
      <c r="R87" s="38"/>
      <c r="S87" s="38"/>
      <c r="BE87" s="38"/>
      <c r="BF87" s="38"/>
    </row>
    <row r="88" spans="15:58" x14ac:dyDescent="0.3">
      <c r="O88" s="38"/>
      <c r="P88" s="38"/>
      <c r="Q88" s="38"/>
      <c r="R88" s="38"/>
      <c r="S88" s="38"/>
      <c r="BE88" s="38"/>
      <c r="BF88" s="38"/>
    </row>
    <row r="89" spans="15:58" x14ac:dyDescent="0.3">
      <c r="O89" s="38"/>
      <c r="P89" s="38"/>
      <c r="Q89" s="38"/>
      <c r="R89" s="38"/>
      <c r="S89" s="38"/>
      <c r="BE89" s="38"/>
      <c r="BF89" s="38"/>
    </row>
    <row r="90" spans="15:58" x14ac:dyDescent="0.3">
      <c r="O90" s="38"/>
      <c r="P90" s="38"/>
      <c r="Q90" s="38"/>
      <c r="R90" s="38"/>
      <c r="S90" s="38"/>
      <c r="BE90" s="38"/>
      <c r="BF90" s="38"/>
    </row>
  </sheetData>
  <phoneticPr fontId="1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D23"/>
  <sheetViews>
    <sheetView workbookViewId="0"/>
  </sheetViews>
  <sheetFormatPr defaultRowHeight="15" x14ac:dyDescent="0.3"/>
  <cols>
    <col min="2" max="2" width="33.08984375" customWidth="1"/>
    <col min="3" max="3" width="84" bestFit="1" customWidth="1"/>
  </cols>
  <sheetData>
    <row r="2" spans="2:4" ht="18" x14ac:dyDescent="0.3">
      <c r="B2" s="7" t="s">
        <v>1</v>
      </c>
      <c r="C2" s="2" t="s">
        <v>2</v>
      </c>
    </row>
    <row r="3" spans="2:4" ht="18" x14ac:dyDescent="0.3">
      <c r="B3" s="7" t="s">
        <v>3</v>
      </c>
      <c r="C3" s="2" t="s">
        <v>4</v>
      </c>
    </row>
    <row r="4" spans="2:4" ht="18" x14ac:dyDescent="0.3">
      <c r="B4" s="7" t="s">
        <v>5</v>
      </c>
      <c r="C4" s="55" t="s">
        <v>93</v>
      </c>
      <c r="D4" s="25"/>
    </row>
    <row r="5" spans="2:4" ht="18" x14ac:dyDescent="0.3">
      <c r="B5" s="7" t="s">
        <v>6</v>
      </c>
      <c r="C5" s="41" t="s">
        <v>7</v>
      </c>
    </row>
    <row r="6" spans="2:4" ht="18" x14ac:dyDescent="0.3">
      <c r="B6" s="25" t="s">
        <v>79</v>
      </c>
      <c r="C6" s="25" t="s">
        <v>83</v>
      </c>
    </row>
    <row r="7" spans="2:4" ht="18" x14ac:dyDescent="0.3">
      <c r="B7" s="25" t="s">
        <v>80</v>
      </c>
      <c r="C7" s="39" t="s">
        <v>94</v>
      </c>
    </row>
    <row r="8" spans="2:4" ht="18" x14ac:dyDescent="0.3">
      <c r="B8" s="25" t="s">
        <v>81</v>
      </c>
      <c r="C8" s="8" t="s">
        <v>95</v>
      </c>
      <c r="D8" s="7"/>
    </row>
    <row r="9" spans="2:4" ht="18" x14ac:dyDescent="0.3">
      <c r="B9" s="25" t="s">
        <v>82</v>
      </c>
      <c r="C9" s="25" t="s">
        <v>84</v>
      </c>
    </row>
    <row r="10" spans="2:4" ht="18" x14ac:dyDescent="0.3">
      <c r="B10" s="7" t="s">
        <v>8</v>
      </c>
      <c r="C10" s="43" t="s">
        <v>141</v>
      </c>
    </row>
    <row r="11" spans="2:4" ht="18" x14ac:dyDescent="0.3">
      <c r="B11" s="9" t="s">
        <v>9</v>
      </c>
      <c r="C11" s="44" t="s">
        <v>142</v>
      </c>
    </row>
    <row r="12" spans="2:4" ht="18" x14ac:dyDescent="0.3">
      <c r="B12" s="9"/>
    </row>
    <row r="13" spans="2:4" ht="18" x14ac:dyDescent="0.3">
      <c r="B13" s="9"/>
    </row>
    <row r="14" spans="2:4" ht="18" x14ac:dyDescent="0.3">
      <c r="B14" s="9"/>
    </row>
    <row r="15" spans="2:4" ht="18" x14ac:dyDescent="0.3">
      <c r="B15" s="9"/>
    </row>
    <row r="16" spans="2:4" ht="18" x14ac:dyDescent="0.3">
      <c r="B16" s="9"/>
    </row>
    <row r="17" spans="2:2" ht="18" x14ac:dyDescent="0.3">
      <c r="B17" s="9"/>
    </row>
    <row r="18" spans="2:2" ht="18" x14ac:dyDescent="0.3">
      <c r="B18" s="9"/>
    </row>
    <row r="19" spans="2:2" ht="18" x14ac:dyDescent="0.3">
      <c r="B19" s="9"/>
    </row>
    <row r="20" spans="2:2" ht="18" x14ac:dyDescent="0.3">
      <c r="B20" s="9"/>
    </row>
    <row r="21" spans="2:2" ht="18" x14ac:dyDescent="0.3">
      <c r="B21" s="9"/>
    </row>
    <row r="22" spans="2:2" ht="18" x14ac:dyDescent="0.3">
      <c r="B22" s="9"/>
    </row>
    <row r="23" spans="2:2" ht="18" x14ac:dyDescent="0.3">
      <c r="B23" s="9"/>
    </row>
  </sheetData>
  <phoneticPr fontId="13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Q1101"/>
  <sheetViews>
    <sheetView zoomScale="80" zoomScaleNormal="80" workbookViewId="0">
      <selection activeCell="A52" sqref="A52"/>
    </sheetView>
  </sheetViews>
  <sheetFormatPr defaultRowHeight="15" x14ac:dyDescent="0.3"/>
  <cols>
    <col min="1" max="2" width="36.90625" bestFit="1" customWidth="1"/>
    <col min="3" max="63" width="0" hidden="1" customWidth="1"/>
    <col min="65" max="65" width="28.1796875" bestFit="1" customWidth="1"/>
    <col min="66" max="66" width="8.36328125" bestFit="1" customWidth="1"/>
    <col min="67" max="67" width="8.81640625" customWidth="1"/>
    <col min="68" max="68" width="14.453125" bestFit="1" customWidth="1"/>
  </cols>
  <sheetData>
    <row r="1" spans="1:69" x14ac:dyDescent="0.3">
      <c r="A1" t="s">
        <v>182</v>
      </c>
      <c r="B1" t="s">
        <v>183</v>
      </c>
      <c r="BL1" t="s">
        <v>184</v>
      </c>
      <c r="BN1" t="s">
        <v>185</v>
      </c>
    </row>
    <row r="2" spans="1:69" x14ac:dyDescent="0.3">
      <c r="A2" t="e" cm="1">
        <f t="array" ref="A2">_xlfn._xlws.SORT('API Managing Sheet'!#REF!:'API Managing Sheet'!BR1031,3,1,FALSE)</f>
        <v>#REF!</v>
      </c>
      <c r="BM2" t="e">
        <v>#N/A</v>
      </c>
      <c r="BN2" t="b">
        <f>IF(OR(ISNA(BM2)=FALSE,ISNA(BM3)=FALSE),FALSE,TRUE)</f>
        <v>1</v>
      </c>
    </row>
    <row r="3" spans="1:69" x14ac:dyDescent="0.3">
      <c r="BM3" t="e">
        <f t="shared" ref="BM3:BM4" si="0">IF(OR(BL2="✔",BL3="✔"),#N/A,VLOOKUP(B2&amp;"*",B3,1,FALSE))</f>
        <v>#N/A</v>
      </c>
      <c r="BN3" t="b">
        <f t="shared" ref="BN3:BN66" si="1">IF(OR(ISNA(BM3)=FALSE,ISNA(BM4)=FALSE),FALSE,TRUE)</f>
        <v>1</v>
      </c>
      <c r="BP3" s="57" t="s">
        <v>164</v>
      </c>
    </row>
    <row r="4" spans="1:69" x14ac:dyDescent="0.3">
      <c r="BM4" t="e">
        <f t="shared" si="0"/>
        <v>#N/A</v>
      </c>
      <c r="BN4" t="b">
        <f t="shared" si="1"/>
        <v>1</v>
      </c>
      <c r="BP4" s="58" t="str">
        <f>IF(COUNTIF(BN3:BN1001,FALSE)&gt;0,"URL部分重複あり","")</f>
        <v/>
      </c>
      <c r="BQ4" t="s">
        <v>165</v>
      </c>
    </row>
    <row r="5" spans="1:69" x14ac:dyDescent="0.3">
      <c r="BM5" t="e">
        <f>IF(OR(BL4="✔",BL5="✔"),#N/A,VLOOKUP(B4&amp;"*",B5,1,FALSE))</f>
        <v>#N/A</v>
      </c>
      <c r="BN5" t="b">
        <f t="shared" si="1"/>
        <v>1</v>
      </c>
    </row>
    <row r="6" spans="1:69" x14ac:dyDescent="0.3">
      <c r="BM6" t="e">
        <f t="shared" ref="BM6:BM69" si="2">IF(OR(BL5="✔",BL6="✔"),#N/A,VLOOKUP(B5&amp;"*",B6,1,FALSE))</f>
        <v>#N/A</v>
      </c>
      <c r="BN6" t="b">
        <f t="shared" si="1"/>
        <v>1</v>
      </c>
      <c r="BO6" t="s">
        <v>166</v>
      </c>
    </row>
    <row r="7" spans="1:69" x14ac:dyDescent="0.3">
      <c r="BM7" t="e">
        <f t="shared" si="2"/>
        <v>#N/A</v>
      </c>
      <c r="BN7" t="b">
        <f t="shared" si="1"/>
        <v>1</v>
      </c>
      <c r="BO7" t="s">
        <v>167</v>
      </c>
    </row>
    <row r="8" spans="1:69" x14ac:dyDescent="0.3">
      <c r="BM8" t="e">
        <f t="shared" si="2"/>
        <v>#N/A</v>
      </c>
      <c r="BN8" t="b">
        <f t="shared" si="1"/>
        <v>1</v>
      </c>
      <c r="BO8" t="s">
        <v>168</v>
      </c>
    </row>
    <row r="9" spans="1:69" x14ac:dyDescent="0.3">
      <c r="BM9" t="e">
        <f t="shared" si="2"/>
        <v>#N/A</v>
      </c>
      <c r="BN9" t="b">
        <f t="shared" si="1"/>
        <v>1</v>
      </c>
    </row>
    <row r="10" spans="1:69" x14ac:dyDescent="0.3">
      <c r="BM10" t="e">
        <f t="shared" si="2"/>
        <v>#N/A</v>
      </c>
      <c r="BN10" t="b">
        <f t="shared" si="1"/>
        <v>1</v>
      </c>
      <c r="BP10" s="59" t="s">
        <v>169</v>
      </c>
    </row>
    <row r="11" spans="1:69" x14ac:dyDescent="0.3">
      <c r="BM11" t="e">
        <f t="shared" si="2"/>
        <v>#N/A</v>
      </c>
      <c r="BN11" t="b">
        <f t="shared" si="1"/>
        <v>1</v>
      </c>
      <c r="BP11" t="s">
        <v>170</v>
      </c>
    </row>
    <row r="12" spans="1:69" x14ac:dyDescent="0.3">
      <c r="BM12" t="e">
        <f t="shared" si="2"/>
        <v>#N/A</v>
      </c>
      <c r="BN12" t="b">
        <f t="shared" si="1"/>
        <v>1</v>
      </c>
      <c r="BP12" t="s">
        <v>171</v>
      </c>
    </row>
    <row r="13" spans="1:69" x14ac:dyDescent="0.3">
      <c r="BM13" t="e">
        <f t="shared" si="2"/>
        <v>#N/A</v>
      </c>
      <c r="BN13" t="b">
        <f t="shared" si="1"/>
        <v>1</v>
      </c>
      <c r="BP13" t="s">
        <v>172</v>
      </c>
    </row>
    <row r="14" spans="1:69" x14ac:dyDescent="0.3">
      <c r="BM14" t="e">
        <f t="shared" si="2"/>
        <v>#N/A</v>
      </c>
      <c r="BN14" t="b">
        <f t="shared" si="1"/>
        <v>1</v>
      </c>
      <c r="BP14" t="s">
        <v>173</v>
      </c>
    </row>
    <row r="15" spans="1:69" x14ac:dyDescent="0.3">
      <c r="BM15" t="e">
        <f t="shared" si="2"/>
        <v>#N/A</v>
      </c>
      <c r="BN15" t="b">
        <f t="shared" si="1"/>
        <v>1</v>
      </c>
    </row>
    <row r="16" spans="1:69" x14ac:dyDescent="0.3">
      <c r="BM16" t="e">
        <f t="shared" si="2"/>
        <v>#N/A</v>
      </c>
      <c r="BN16" t="b">
        <v>1</v>
      </c>
      <c r="BP16" t="s">
        <v>174</v>
      </c>
    </row>
    <row r="17" spans="65:68" x14ac:dyDescent="0.3">
      <c r="BM17" t="e">
        <f t="shared" si="2"/>
        <v>#N/A</v>
      </c>
      <c r="BN17" t="b">
        <v>1</v>
      </c>
      <c r="BP17" t="s">
        <v>175</v>
      </c>
    </row>
    <row r="18" spans="65:68" x14ac:dyDescent="0.3">
      <c r="BM18" t="e">
        <f t="shared" si="2"/>
        <v>#N/A</v>
      </c>
      <c r="BN18" t="b">
        <f t="shared" si="1"/>
        <v>1</v>
      </c>
      <c r="BP18" t="s">
        <v>176</v>
      </c>
    </row>
    <row r="19" spans="65:68" x14ac:dyDescent="0.3">
      <c r="BM19" t="e">
        <f t="shared" si="2"/>
        <v>#N/A</v>
      </c>
      <c r="BN19" t="b">
        <f t="shared" si="1"/>
        <v>1</v>
      </c>
      <c r="BP19" t="s">
        <v>177</v>
      </c>
    </row>
    <row r="20" spans="65:68" x14ac:dyDescent="0.3">
      <c r="BM20" t="e">
        <f t="shared" si="2"/>
        <v>#N/A</v>
      </c>
      <c r="BN20" t="b">
        <f t="shared" si="1"/>
        <v>1</v>
      </c>
      <c r="BP20" t="s">
        <v>178</v>
      </c>
    </row>
    <row r="21" spans="65:68" x14ac:dyDescent="0.3">
      <c r="BM21" t="e">
        <f t="shared" si="2"/>
        <v>#N/A</v>
      </c>
      <c r="BN21" t="b">
        <f t="shared" si="1"/>
        <v>1</v>
      </c>
      <c r="BP21" t="s">
        <v>179</v>
      </c>
    </row>
    <row r="22" spans="65:68" x14ac:dyDescent="0.3">
      <c r="BM22" t="e">
        <f t="shared" si="2"/>
        <v>#N/A</v>
      </c>
      <c r="BN22" t="b">
        <f t="shared" si="1"/>
        <v>1</v>
      </c>
      <c r="BP22" t="s">
        <v>180</v>
      </c>
    </row>
    <row r="23" spans="65:68" x14ac:dyDescent="0.3">
      <c r="BM23" t="e">
        <f t="shared" si="2"/>
        <v>#N/A</v>
      </c>
      <c r="BN23" t="b">
        <f t="shared" si="1"/>
        <v>1</v>
      </c>
    </row>
    <row r="24" spans="65:68" x14ac:dyDescent="0.3">
      <c r="BM24" t="e">
        <f t="shared" si="2"/>
        <v>#N/A</v>
      </c>
      <c r="BN24" t="b">
        <v>1</v>
      </c>
      <c r="BP24" t="s">
        <v>181</v>
      </c>
    </row>
    <row r="25" spans="65:68" x14ac:dyDescent="0.3">
      <c r="BM25" t="e">
        <f t="shared" si="2"/>
        <v>#N/A</v>
      </c>
      <c r="BN25" t="b">
        <v>1</v>
      </c>
    </row>
    <row r="26" spans="65:68" x14ac:dyDescent="0.3">
      <c r="BM26" t="e">
        <f t="shared" si="2"/>
        <v>#N/A</v>
      </c>
      <c r="BN26" t="b">
        <v>1</v>
      </c>
    </row>
    <row r="27" spans="65:68" x14ac:dyDescent="0.3">
      <c r="BM27" t="e">
        <f t="shared" si="2"/>
        <v>#N/A</v>
      </c>
      <c r="BN27" t="b">
        <v>1</v>
      </c>
    </row>
    <row r="28" spans="65:68" x14ac:dyDescent="0.3">
      <c r="BM28" t="e">
        <f t="shared" si="2"/>
        <v>#N/A</v>
      </c>
      <c r="BN28" t="b">
        <f t="shared" si="1"/>
        <v>1</v>
      </c>
    </row>
    <row r="29" spans="65:68" x14ac:dyDescent="0.3">
      <c r="BM29" t="e">
        <f t="shared" si="2"/>
        <v>#N/A</v>
      </c>
      <c r="BN29" t="b">
        <f t="shared" si="1"/>
        <v>1</v>
      </c>
    </row>
    <row r="30" spans="65:68" x14ac:dyDescent="0.3">
      <c r="BM30" t="e">
        <f t="shared" si="2"/>
        <v>#N/A</v>
      </c>
      <c r="BN30" t="b">
        <f t="shared" si="1"/>
        <v>1</v>
      </c>
    </row>
    <row r="31" spans="65:68" x14ac:dyDescent="0.3">
      <c r="BM31" t="e">
        <f t="shared" si="2"/>
        <v>#N/A</v>
      </c>
      <c r="BN31" t="b">
        <f t="shared" si="1"/>
        <v>1</v>
      </c>
    </row>
    <row r="32" spans="65:68" x14ac:dyDescent="0.3">
      <c r="BM32" t="e">
        <f t="shared" si="2"/>
        <v>#N/A</v>
      </c>
      <c r="BN32" t="b">
        <f t="shared" si="1"/>
        <v>1</v>
      </c>
    </row>
    <row r="33" spans="65:66" x14ac:dyDescent="0.3">
      <c r="BM33" t="e">
        <f t="shared" si="2"/>
        <v>#N/A</v>
      </c>
      <c r="BN33" t="b">
        <v>1</v>
      </c>
    </row>
    <row r="34" spans="65:66" x14ac:dyDescent="0.3">
      <c r="BM34" t="e">
        <f t="shared" si="2"/>
        <v>#N/A</v>
      </c>
      <c r="BN34" t="b">
        <v>1</v>
      </c>
    </row>
    <row r="35" spans="65:66" x14ac:dyDescent="0.3">
      <c r="BM35" t="e">
        <f t="shared" si="2"/>
        <v>#N/A</v>
      </c>
      <c r="BN35" t="b">
        <f t="shared" si="1"/>
        <v>1</v>
      </c>
    </row>
    <row r="36" spans="65:66" x14ac:dyDescent="0.3">
      <c r="BM36" t="e">
        <f t="shared" si="2"/>
        <v>#N/A</v>
      </c>
      <c r="BN36" t="b">
        <v>1</v>
      </c>
    </row>
    <row r="37" spans="65:66" x14ac:dyDescent="0.3">
      <c r="BM37" t="e">
        <f t="shared" si="2"/>
        <v>#N/A</v>
      </c>
      <c r="BN37" t="b">
        <v>1</v>
      </c>
    </row>
    <row r="38" spans="65:66" x14ac:dyDescent="0.3">
      <c r="BM38" t="e">
        <f t="shared" si="2"/>
        <v>#N/A</v>
      </c>
      <c r="BN38" t="b">
        <f t="shared" si="1"/>
        <v>1</v>
      </c>
    </row>
    <row r="39" spans="65:66" x14ac:dyDescent="0.3">
      <c r="BM39" t="e">
        <f t="shared" si="2"/>
        <v>#N/A</v>
      </c>
      <c r="BN39" t="b">
        <v>1</v>
      </c>
    </row>
    <row r="40" spans="65:66" x14ac:dyDescent="0.3">
      <c r="BM40" t="e">
        <f t="shared" si="2"/>
        <v>#N/A</v>
      </c>
      <c r="BN40" t="b">
        <v>1</v>
      </c>
    </row>
    <row r="41" spans="65:66" x14ac:dyDescent="0.3">
      <c r="BM41" t="e">
        <f t="shared" si="2"/>
        <v>#N/A</v>
      </c>
      <c r="BN41" t="b">
        <v>1</v>
      </c>
    </row>
    <row r="42" spans="65:66" x14ac:dyDescent="0.3">
      <c r="BM42" t="e">
        <f t="shared" si="2"/>
        <v>#N/A</v>
      </c>
      <c r="BN42" t="b">
        <v>1</v>
      </c>
    </row>
    <row r="43" spans="65:66" x14ac:dyDescent="0.3">
      <c r="BM43" t="e">
        <f t="shared" si="2"/>
        <v>#N/A</v>
      </c>
      <c r="BN43" t="b">
        <v>1</v>
      </c>
    </row>
    <row r="44" spans="65:66" x14ac:dyDescent="0.3">
      <c r="BM44" t="e">
        <f t="shared" si="2"/>
        <v>#N/A</v>
      </c>
      <c r="BN44" t="b">
        <v>1</v>
      </c>
    </row>
    <row r="45" spans="65:66" x14ac:dyDescent="0.3">
      <c r="BM45" t="e">
        <f t="shared" si="2"/>
        <v>#N/A</v>
      </c>
      <c r="BN45" t="b">
        <f t="shared" si="1"/>
        <v>1</v>
      </c>
    </row>
    <row r="46" spans="65:66" x14ac:dyDescent="0.3">
      <c r="BM46" t="e">
        <f t="shared" si="2"/>
        <v>#N/A</v>
      </c>
      <c r="BN46" t="b">
        <f t="shared" si="1"/>
        <v>1</v>
      </c>
    </row>
    <row r="47" spans="65:66" x14ac:dyDescent="0.3">
      <c r="BM47" t="e">
        <f t="shared" si="2"/>
        <v>#N/A</v>
      </c>
      <c r="BN47" t="b">
        <f t="shared" si="1"/>
        <v>1</v>
      </c>
    </row>
    <row r="48" spans="65:66" x14ac:dyDescent="0.3">
      <c r="BM48" t="e">
        <f t="shared" si="2"/>
        <v>#N/A</v>
      </c>
      <c r="BN48" t="b">
        <f t="shared" si="1"/>
        <v>1</v>
      </c>
    </row>
    <row r="49" spans="65:66" x14ac:dyDescent="0.3">
      <c r="BM49" t="e">
        <f t="shared" si="2"/>
        <v>#N/A</v>
      </c>
      <c r="BN49" t="b">
        <f t="shared" si="1"/>
        <v>1</v>
      </c>
    </row>
    <row r="50" spans="65:66" x14ac:dyDescent="0.3">
      <c r="BM50" t="e">
        <f t="shared" si="2"/>
        <v>#N/A</v>
      </c>
      <c r="BN50" t="b">
        <f t="shared" si="1"/>
        <v>1</v>
      </c>
    </row>
    <row r="51" spans="65:66" x14ac:dyDescent="0.3">
      <c r="BM51" t="e">
        <f t="shared" si="2"/>
        <v>#N/A</v>
      </c>
      <c r="BN51" t="b">
        <f t="shared" si="1"/>
        <v>1</v>
      </c>
    </row>
    <row r="52" spans="65:66" x14ac:dyDescent="0.3">
      <c r="BM52" t="e">
        <f t="shared" si="2"/>
        <v>#N/A</v>
      </c>
      <c r="BN52" t="b">
        <f t="shared" si="1"/>
        <v>1</v>
      </c>
    </row>
    <row r="53" spans="65:66" x14ac:dyDescent="0.3">
      <c r="BM53" t="e">
        <f t="shared" si="2"/>
        <v>#N/A</v>
      </c>
      <c r="BN53" t="b">
        <f t="shared" si="1"/>
        <v>1</v>
      </c>
    </row>
    <row r="54" spans="65:66" x14ac:dyDescent="0.3">
      <c r="BM54" t="e">
        <f t="shared" si="2"/>
        <v>#N/A</v>
      </c>
      <c r="BN54" t="b">
        <f t="shared" si="1"/>
        <v>1</v>
      </c>
    </row>
    <row r="55" spans="65:66" x14ac:dyDescent="0.3">
      <c r="BM55" t="e">
        <f t="shared" si="2"/>
        <v>#N/A</v>
      </c>
      <c r="BN55" t="b">
        <f t="shared" si="1"/>
        <v>1</v>
      </c>
    </row>
    <row r="56" spans="65:66" x14ac:dyDescent="0.3">
      <c r="BM56" t="e">
        <f t="shared" si="2"/>
        <v>#N/A</v>
      </c>
      <c r="BN56" t="b">
        <f t="shared" si="1"/>
        <v>1</v>
      </c>
    </row>
    <row r="57" spans="65:66" x14ac:dyDescent="0.3">
      <c r="BM57" t="e">
        <f t="shared" si="2"/>
        <v>#N/A</v>
      </c>
      <c r="BN57" t="b">
        <f t="shared" si="1"/>
        <v>1</v>
      </c>
    </row>
    <row r="58" spans="65:66" x14ac:dyDescent="0.3">
      <c r="BM58" t="e">
        <f t="shared" si="2"/>
        <v>#N/A</v>
      </c>
      <c r="BN58" t="b">
        <f t="shared" si="1"/>
        <v>1</v>
      </c>
    </row>
    <row r="59" spans="65:66" x14ac:dyDescent="0.3">
      <c r="BM59" t="e">
        <f t="shared" si="2"/>
        <v>#N/A</v>
      </c>
      <c r="BN59" t="b">
        <f t="shared" si="1"/>
        <v>1</v>
      </c>
    </row>
    <row r="60" spans="65:66" x14ac:dyDescent="0.3">
      <c r="BM60" t="e">
        <f t="shared" si="2"/>
        <v>#N/A</v>
      </c>
      <c r="BN60" t="b">
        <f t="shared" si="1"/>
        <v>1</v>
      </c>
    </row>
    <row r="61" spans="65:66" x14ac:dyDescent="0.3">
      <c r="BM61" t="e">
        <f t="shared" si="2"/>
        <v>#N/A</v>
      </c>
      <c r="BN61" t="b">
        <f t="shared" si="1"/>
        <v>1</v>
      </c>
    </row>
    <row r="62" spans="65:66" x14ac:dyDescent="0.3">
      <c r="BM62" t="e">
        <f t="shared" si="2"/>
        <v>#N/A</v>
      </c>
      <c r="BN62" t="b">
        <f t="shared" si="1"/>
        <v>1</v>
      </c>
    </row>
    <row r="63" spans="65:66" x14ac:dyDescent="0.3">
      <c r="BM63" t="e">
        <f t="shared" si="2"/>
        <v>#N/A</v>
      </c>
      <c r="BN63" t="b">
        <f t="shared" si="1"/>
        <v>1</v>
      </c>
    </row>
    <row r="64" spans="65:66" x14ac:dyDescent="0.3">
      <c r="BM64" t="e">
        <f t="shared" si="2"/>
        <v>#N/A</v>
      </c>
      <c r="BN64" t="b">
        <f t="shared" si="1"/>
        <v>1</v>
      </c>
    </row>
    <row r="65" spans="65:66" x14ac:dyDescent="0.3">
      <c r="BM65" t="e">
        <f t="shared" si="2"/>
        <v>#N/A</v>
      </c>
      <c r="BN65" t="b">
        <f t="shared" si="1"/>
        <v>1</v>
      </c>
    </row>
    <row r="66" spans="65:66" x14ac:dyDescent="0.3">
      <c r="BM66" t="e">
        <f t="shared" si="2"/>
        <v>#N/A</v>
      </c>
      <c r="BN66" t="b">
        <f t="shared" si="1"/>
        <v>1</v>
      </c>
    </row>
    <row r="67" spans="65:66" x14ac:dyDescent="0.3">
      <c r="BM67" t="e">
        <f t="shared" si="2"/>
        <v>#N/A</v>
      </c>
      <c r="BN67" t="b">
        <f t="shared" ref="BN67:BN130" si="3">IF(OR(ISNA(BM67)=FALSE,ISNA(BM68)=FALSE),FALSE,TRUE)</f>
        <v>1</v>
      </c>
    </row>
    <row r="68" spans="65:66" x14ac:dyDescent="0.3">
      <c r="BM68" t="e">
        <f t="shared" si="2"/>
        <v>#N/A</v>
      </c>
      <c r="BN68" t="b">
        <f t="shared" si="3"/>
        <v>1</v>
      </c>
    </row>
    <row r="69" spans="65:66" x14ac:dyDescent="0.3">
      <c r="BM69" t="e">
        <f t="shared" si="2"/>
        <v>#N/A</v>
      </c>
      <c r="BN69" t="b">
        <f t="shared" si="3"/>
        <v>1</v>
      </c>
    </row>
    <row r="70" spans="65:66" x14ac:dyDescent="0.3">
      <c r="BM70" t="e">
        <f t="shared" ref="BM70:BM133" si="4">IF(OR(BL69="✔",BL70="✔"),#N/A,VLOOKUP(B69&amp;"*",B70,1,FALSE))</f>
        <v>#N/A</v>
      </c>
      <c r="BN70" t="b">
        <f t="shared" si="3"/>
        <v>1</v>
      </c>
    </row>
    <row r="71" spans="65:66" x14ac:dyDescent="0.3">
      <c r="BM71" t="e">
        <f t="shared" si="4"/>
        <v>#N/A</v>
      </c>
      <c r="BN71" t="b">
        <f t="shared" si="3"/>
        <v>1</v>
      </c>
    </row>
    <row r="72" spans="65:66" x14ac:dyDescent="0.3">
      <c r="BM72" t="e">
        <f t="shared" si="4"/>
        <v>#N/A</v>
      </c>
      <c r="BN72" t="b">
        <f t="shared" si="3"/>
        <v>1</v>
      </c>
    </row>
    <row r="73" spans="65:66" x14ac:dyDescent="0.3">
      <c r="BM73" t="e">
        <f t="shared" si="4"/>
        <v>#N/A</v>
      </c>
      <c r="BN73" t="b">
        <f t="shared" si="3"/>
        <v>1</v>
      </c>
    </row>
    <row r="74" spans="65:66" x14ac:dyDescent="0.3">
      <c r="BM74" t="e">
        <f t="shared" si="4"/>
        <v>#N/A</v>
      </c>
      <c r="BN74" t="b">
        <f t="shared" si="3"/>
        <v>1</v>
      </c>
    </row>
    <row r="75" spans="65:66" x14ac:dyDescent="0.3">
      <c r="BM75" t="e">
        <f t="shared" si="4"/>
        <v>#N/A</v>
      </c>
      <c r="BN75" t="b">
        <f t="shared" si="3"/>
        <v>1</v>
      </c>
    </row>
    <row r="76" spans="65:66" x14ac:dyDescent="0.3">
      <c r="BM76" t="e">
        <f t="shared" si="4"/>
        <v>#N/A</v>
      </c>
      <c r="BN76" t="b">
        <f t="shared" si="3"/>
        <v>1</v>
      </c>
    </row>
    <row r="77" spans="65:66" x14ac:dyDescent="0.3">
      <c r="BM77" t="e">
        <f t="shared" si="4"/>
        <v>#N/A</v>
      </c>
      <c r="BN77" t="b">
        <f t="shared" si="3"/>
        <v>1</v>
      </c>
    </row>
    <row r="78" spans="65:66" x14ac:dyDescent="0.3">
      <c r="BM78" t="e">
        <f t="shared" si="4"/>
        <v>#N/A</v>
      </c>
      <c r="BN78" t="b">
        <f t="shared" si="3"/>
        <v>1</v>
      </c>
    </row>
    <row r="79" spans="65:66" x14ac:dyDescent="0.3">
      <c r="BM79" t="e">
        <f t="shared" si="4"/>
        <v>#N/A</v>
      </c>
      <c r="BN79" t="b">
        <f t="shared" si="3"/>
        <v>1</v>
      </c>
    </row>
    <row r="80" spans="65:66" x14ac:dyDescent="0.3">
      <c r="BM80" t="e">
        <f t="shared" si="4"/>
        <v>#N/A</v>
      </c>
      <c r="BN80" t="b">
        <f t="shared" si="3"/>
        <v>1</v>
      </c>
    </row>
    <row r="81" spans="65:66" x14ac:dyDescent="0.3">
      <c r="BM81" t="e">
        <f t="shared" si="4"/>
        <v>#N/A</v>
      </c>
      <c r="BN81" t="b">
        <f t="shared" si="3"/>
        <v>1</v>
      </c>
    </row>
    <row r="82" spans="65:66" x14ac:dyDescent="0.3">
      <c r="BM82" t="e">
        <f t="shared" si="4"/>
        <v>#N/A</v>
      </c>
      <c r="BN82" t="b">
        <f t="shared" si="3"/>
        <v>1</v>
      </c>
    </row>
    <row r="83" spans="65:66" x14ac:dyDescent="0.3">
      <c r="BM83" t="e">
        <f t="shared" si="4"/>
        <v>#N/A</v>
      </c>
      <c r="BN83" t="b">
        <f t="shared" si="3"/>
        <v>1</v>
      </c>
    </row>
    <row r="84" spans="65:66" x14ac:dyDescent="0.3">
      <c r="BM84" t="e">
        <f t="shared" si="4"/>
        <v>#N/A</v>
      </c>
      <c r="BN84" t="b">
        <f t="shared" si="3"/>
        <v>1</v>
      </c>
    </row>
    <row r="85" spans="65:66" x14ac:dyDescent="0.3">
      <c r="BM85" t="e">
        <f t="shared" si="4"/>
        <v>#N/A</v>
      </c>
      <c r="BN85" t="b">
        <f t="shared" si="3"/>
        <v>1</v>
      </c>
    </row>
    <row r="86" spans="65:66" x14ac:dyDescent="0.3">
      <c r="BM86" t="e">
        <f t="shared" si="4"/>
        <v>#N/A</v>
      </c>
      <c r="BN86" t="b">
        <f t="shared" si="3"/>
        <v>1</v>
      </c>
    </row>
    <row r="87" spans="65:66" x14ac:dyDescent="0.3">
      <c r="BM87" t="e">
        <f t="shared" si="4"/>
        <v>#N/A</v>
      </c>
      <c r="BN87" t="b">
        <f t="shared" si="3"/>
        <v>1</v>
      </c>
    </row>
    <row r="88" spans="65:66" x14ac:dyDescent="0.3">
      <c r="BM88" t="e">
        <f t="shared" si="4"/>
        <v>#N/A</v>
      </c>
      <c r="BN88" t="b">
        <f t="shared" si="3"/>
        <v>1</v>
      </c>
    </row>
    <row r="89" spans="65:66" x14ac:dyDescent="0.3">
      <c r="BM89" t="e">
        <f t="shared" si="4"/>
        <v>#N/A</v>
      </c>
      <c r="BN89" t="b">
        <f t="shared" si="3"/>
        <v>1</v>
      </c>
    </row>
    <row r="90" spans="65:66" x14ac:dyDescent="0.3">
      <c r="BM90" t="e">
        <f t="shared" si="4"/>
        <v>#N/A</v>
      </c>
      <c r="BN90" t="b">
        <f t="shared" si="3"/>
        <v>1</v>
      </c>
    </row>
    <row r="91" spans="65:66" x14ac:dyDescent="0.3">
      <c r="BM91" t="e">
        <f t="shared" si="4"/>
        <v>#N/A</v>
      </c>
      <c r="BN91" t="b">
        <f t="shared" si="3"/>
        <v>1</v>
      </c>
    </row>
    <row r="92" spans="65:66" x14ac:dyDescent="0.3">
      <c r="BM92" t="e">
        <f t="shared" si="4"/>
        <v>#N/A</v>
      </c>
      <c r="BN92" t="b">
        <f t="shared" si="3"/>
        <v>1</v>
      </c>
    </row>
    <row r="93" spans="65:66" x14ac:dyDescent="0.3">
      <c r="BM93" t="e">
        <f t="shared" si="4"/>
        <v>#N/A</v>
      </c>
      <c r="BN93" t="b">
        <f t="shared" si="3"/>
        <v>1</v>
      </c>
    </row>
    <row r="94" spans="65:66" x14ac:dyDescent="0.3">
      <c r="BM94" t="e">
        <f t="shared" si="4"/>
        <v>#N/A</v>
      </c>
      <c r="BN94" t="b">
        <f t="shared" si="3"/>
        <v>1</v>
      </c>
    </row>
    <row r="95" spans="65:66" x14ac:dyDescent="0.3">
      <c r="BM95" t="e">
        <f t="shared" si="4"/>
        <v>#N/A</v>
      </c>
      <c r="BN95" t="b">
        <f t="shared" si="3"/>
        <v>1</v>
      </c>
    </row>
    <row r="96" spans="65:66" x14ac:dyDescent="0.3">
      <c r="BM96" t="e">
        <f t="shared" si="4"/>
        <v>#N/A</v>
      </c>
      <c r="BN96" t="b">
        <f t="shared" si="3"/>
        <v>1</v>
      </c>
    </row>
    <row r="97" spans="65:66" x14ac:dyDescent="0.3">
      <c r="BM97" t="e">
        <f t="shared" si="4"/>
        <v>#N/A</v>
      </c>
      <c r="BN97" t="b">
        <f t="shared" si="3"/>
        <v>1</v>
      </c>
    </row>
    <row r="98" spans="65:66" x14ac:dyDescent="0.3">
      <c r="BM98" t="e">
        <f t="shared" si="4"/>
        <v>#N/A</v>
      </c>
      <c r="BN98" t="b">
        <f t="shared" si="3"/>
        <v>1</v>
      </c>
    </row>
    <row r="99" spans="65:66" x14ac:dyDescent="0.3">
      <c r="BM99" t="e">
        <f t="shared" si="4"/>
        <v>#N/A</v>
      </c>
      <c r="BN99" t="b">
        <f t="shared" si="3"/>
        <v>1</v>
      </c>
    </row>
    <row r="100" spans="65:66" x14ac:dyDescent="0.3">
      <c r="BM100" t="e">
        <f t="shared" si="4"/>
        <v>#N/A</v>
      </c>
      <c r="BN100" t="b">
        <f t="shared" si="3"/>
        <v>1</v>
      </c>
    </row>
    <row r="101" spans="65:66" x14ac:dyDescent="0.3">
      <c r="BM101" t="e">
        <f t="shared" si="4"/>
        <v>#N/A</v>
      </c>
      <c r="BN101" t="b">
        <f t="shared" si="3"/>
        <v>1</v>
      </c>
    </row>
    <row r="102" spans="65:66" x14ac:dyDescent="0.3">
      <c r="BM102" t="e">
        <f t="shared" si="4"/>
        <v>#N/A</v>
      </c>
      <c r="BN102" t="b">
        <f t="shared" si="3"/>
        <v>1</v>
      </c>
    </row>
    <row r="103" spans="65:66" x14ac:dyDescent="0.3">
      <c r="BM103" t="e">
        <f t="shared" si="4"/>
        <v>#N/A</v>
      </c>
      <c r="BN103" t="b">
        <f t="shared" si="3"/>
        <v>1</v>
      </c>
    </row>
    <row r="104" spans="65:66" x14ac:dyDescent="0.3">
      <c r="BM104" t="e">
        <f t="shared" si="4"/>
        <v>#N/A</v>
      </c>
      <c r="BN104" t="b">
        <f t="shared" si="3"/>
        <v>1</v>
      </c>
    </row>
    <row r="105" spans="65:66" x14ac:dyDescent="0.3">
      <c r="BM105" t="e">
        <f t="shared" si="4"/>
        <v>#N/A</v>
      </c>
      <c r="BN105" t="b">
        <f t="shared" si="3"/>
        <v>1</v>
      </c>
    </row>
    <row r="106" spans="65:66" x14ac:dyDescent="0.3">
      <c r="BM106" t="e">
        <f t="shared" si="4"/>
        <v>#N/A</v>
      </c>
      <c r="BN106" t="b">
        <f t="shared" si="3"/>
        <v>1</v>
      </c>
    </row>
    <row r="107" spans="65:66" x14ac:dyDescent="0.3">
      <c r="BM107" t="e">
        <f t="shared" si="4"/>
        <v>#N/A</v>
      </c>
      <c r="BN107" t="b">
        <f t="shared" si="3"/>
        <v>1</v>
      </c>
    </row>
    <row r="108" spans="65:66" x14ac:dyDescent="0.3">
      <c r="BM108" t="e">
        <f t="shared" si="4"/>
        <v>#N/A</v>
      </c>
      <c r="BN108" t="b">
        <f t="shared" si="3"/>
        <v>1</v>
      </c>
    </row>
    <row r="109" spans="65:66" x14ac:dyDescent="0.3">
      <c r="BM109" t="e">
        <f t="shared" si="4"/>
        <v>#N/A</v>
      </c>
      <c r="BN109" t="b">
        <f t="shared" si="3"/>
        <v>1</v>
      </c>
    </row>
    <row r="110" spans="65:66" x14ac:dyDescent="0.3">
      <c r="BM110" t="e">
        <f t="shared" si="4"/>
        <v>#N/A</v>
      </c>
      <c r="BN110" t="b">
        <f t="shared" si="3"/>
        <v>1</v>
      </c>
    </row>
    <row r="111" spans="65:66" x14ac:dyDescent="0.3">
      <c r="BM111" t="e">
        <f t="shared" si="4"/>
        <v>#N/A</v>
      </c>
      <c r="BN111" t="b">
        <f t="shared" si="3"/>
        <v>1</v>
      </c>
    </row>
    <row r="112" spans="65:66" x14ac:dyDescent="0.3">
      <c r="BM112" t="e">
        <f t="shared" si="4"/>
        <v>#N/A</v>
      </c>
      <c r="BN112" t="b">
        <f t="shared" si="3"/>
        <v>1</v>
      </c>
    </row>
    <row r="113" spans="65:66" x14ac:dyDescent="0.3">
      <c r="BM113" t="e">
        <f t="shared" si="4"/>
        <v>#N/A</v>
      </c>
      <c r="BN113" t="b">
        <f t="shared" si="3"/>
        <v>1</v>
      </c>
    </row>
    <row r="114" spans="65:66" x14ac:dyDescent="0.3">
      <c r="BM114" t="e">
        <f t="shared" si="4"/>
        <v>#N/A</v>
      </c>
      <c r="BN114" t="b">
        <f t="shared" si="3"/>
        <v>1</v>
      </c>
    </row>
    <row r="115" spans="65:66" x14ac:dyDescent="0.3">
      <c r="BM115" t="e">
        <f t="shared" si="4"/>
        <v>#N/A</v>
      </c>
      <c r="BN115" t="b">
        <f t="shared" si="3"/>
        <v>1</v>
      </c>
    </row>
    <row r="116" spans="65:66" x14ac:dyDescent="0.3">
      <c r="BM116" t="e">
        <f t="shared" si="4"/>
        <v>#N/A</v>
      </c>
      <c r="BN116" t="b">
        <f t="shared" si="3"/>
        <v>1</v>
      </c>
    </row>
    <row r="117" spans="65:66" x14ac:dyDescent="0.3">
      <c r="BM117" t="e">
        <f t="shared" si="4"/>
        <v>#N/A</v>
      </c>
      <c r="BN117" t="b">
        <f t="shared" si="3"/>
        <v>1</v>
      </c>
    </row>
    <row r="118" spans="65:66" x14ac:dyDescent="0.3">
      <c r="BM118" t="e">
        <f t="shared" si="4"/>
        <v>#N/A</v>
      </c>
      <c r="BN118" t="b">
        <f t="shared" si="3"/>
        <v>1</v>
      </c>
    </row>
    <row r="119" spans="65:66" x14ac:dyDescent="0.3">
      <c r="BM119" t="e">
        <f t="shared" si="4"/>
        <v>#N/A</v>
      </c>
      <c r="BN119" t="b">
        <f t="shared" si="3"/>
        <v>1</v>
      </c>
    </row>
    <row r="120" spans="65:66" x14ac:dyDescent="0.3">
      <c r="BM120" t="e">
        <f t="shared" si="4"/>
        <v>#N/A</v>
      </c>
      <c r="BN120" t="b">
        <f t="shared" si="3"/>
        <v>1</v>
      </c>
    </row>
    <row r="121" spans="65:66" x14ac:dyDescent="0.3">
      <c r="BM121" t="e">
        <f t="shared" si="4"/>
        <v>#N/A</v>
      </c>
      <c r="BN121" t="b">
        <f t="shared" si="3"/>
        <v>1</v>
      </c>
    </row>
    <row r="122" spans="65:66" x14ac:dyDescent="0.3">
      <c r="BM122" t="e">
        <f t="shared" si="4"/>
        <v>#N/A</v>
      </c>
      <c r="BN122" t="b">
        <f t="shared" si="3"/>
        <v>1</v>
      </c>
    </row>
    <row r="123" spans="65:66" x14ac:dyDescent="0.3">
      <c r="BM123" t="e">
        <f t="shared" si="4"/>
        <v>#N/A</v>
      </c>
      <c r="BN123" t="b">
        <f t="shared" si="3"/>
        <v>1</v>
      </c>
    </row>
    <row r="124" spans="65:66" x14ac:dyDescent="0.3">
      <c r="BM124" t="e">
        <f t="shared" si="4"/>
        <v>#N/A</v>
      </c>
      <c r="BN124" t="b">
        <f t="shared" si="3"/>
        <v>1</v>
      </c>
    </row>
    <row r="125" spans="65:66" x14ac:dyDescent="0.3">
      <c r="BM125" t="e">
        <f t="shared" si="4"/>
        <v>#N/A</v>
      </c>
      <c r="BN125" t="b">
        <f t="shared" si="3"/>
        <v>1</v>
      </c>
    </row>
    <row r="126" spans="65:66" x14ac:dyDescent="0.3">
      <c r="BM126" t="e">
        <f t="shared" si="4"/>
        <v>#N/A</v>
      </c>
      <c r="BN126" t="b">
        <f t="shared" si="3"/>
        <v>1</v>
      </c>
    </row>
    <row r="127" spans="65:66" x14ac:dyDescent="0.3">
      <c r="BM127" t="e">
        <f t="shared" si="4"/>
        <v>#N/A</v>
      </c>
      <c r="BN127" t="b">
        <f t="shared" si="3"/>
        <v>1</v>
      </c>
    </row>
    <row r="128" spans="65:66" x14ac:dyDescent="0.3">
      <c r="BM128" t="e">
        <f t="shared" si="4"/>
        <v>#N/A</v>
      </c>
      <c r="BN128" t="b">
        <f t="shared" si="3"/>
        <v>1</v>
      </c>
    </row>
    <row r="129" spans="65:66" x14ac:dyDescent="0.3">
      <c r="BM129" t="e">
        <f t="shared" si="4"/>
        <v>#N/A</v>
      </c>
      <c r="BN129" t="b">
        <f t="shared" si="3"/>
        <v>1</v>
      </c>
    </row>
    <row r="130" spans="65:66" x14ac:dyDescent="0.3">
      <c r="BM130" t="e">
        <f t="shared" si="4"/>
        <v>#N/A</v>
      </c>
      <c r="BN130" t="b">
        <f t="shared" si="3"/>
        <v>1</v>
      </c>
    </row>
    <row r="131" spans="65:66" x14ac:dyDescent="0.3">
      <c r="BM131" t="e">
        <f t="shared" si="4"/>
        <v>#N/A</v>
      </c>
      <c r="BN131" t="b">
        <f t="shared" ref="BN131:BN194" si="5">IF(OR(ISNA(BM131)=FALSE,ISNA(BM132)=FALSE),FALSE,TRUE)</f>
        <v>1</v>
      </c>
    </row>
    <row r="132" spans="65:66" x14ac:dyDescent="0.3">
      <c r="BM132" t="e">
        <f t="shared" si="4"/>
        <v>#N/A</v>
      </c>
      <c r="BN132" t="b">
        <f t="shared" si="5"/>
        <v>1</v>
      </c>
    </row>
    <row r="133" spans="65:66" x14ac:dyDescent="0.3">
      <c r="BM133" t="e">
        <f t="shared" si="4"/>
        <v>#N/A</v>
      </c>
      <c r="BN133" t="b">
        <f t="shared" si="5"/>
        <v>1</v>
      </c>
    </row>
    <row r="134" spans="65:66" x14ac:dyDescent="0.3">
      <c r="BM134" t="e">
        <f t="shared" ref="BM134:BM197" si="6">IF(OR(BL133="✔",BL134="✔"),#N/A,VLOOKUP(B133&amp;"*",B134,1,FALSE))</f>
        <v>#N/A</v>
      </c>
      <c r="BN134" t="b">
        <f t="shared" si="5"/>
        <v>1</v>
      </c>
    </row>
    <row r="135" spans="65:66" x14ac:dyDescent="0.3">
      <c r="BM135" t="e">
        <f t="shared" si="6"/>
        <v>#N/A</v>
      </c>
      <c r="BN135" t="b">
        <f t="shared" si="5"/>
        <v>1</v>
      </c>
    </row>
    <row r="136" spans="65:66" x14ac:dyDescent="0.3">
      <c r="BM136" t="e">
        <f t="shared" si="6"/>
        <v>#N/A</v>
      </c>
      <c r="BN136" t="b">
        <f t="shared" si="5"/>
        <v>1</v>
      </c>
    </row>
    <row r="137" spans="65:66" x14ac:dyDescent="0.3">
      <c r="BM137" t="e">
        <f t="shared" si="6"/>
        <v>#N/A</v>
      </c>
      <c r="BN137" t="b">
        <f t="shared" si="5"/>
        <v>1</v>
      </c>
    </row>
    <row r="138" spans="65:66" x14ac:dyDescent="0.3">
      <c r="BM138" t="e">
        <f t="shared" si="6"/>
        <v>#N/A</v>
      </c>
      <c r="BN138" t="b">
        <f t="shared" si="5"/>
        <v>1</v>
      </c>
    </row>
    <row r="139" spans="65:66" x14ac:dyDescent="0.3">
      <c r="BM139" t="e">
        <f t="shared" si="6"/>
        <v>#N/A</v>
      </c>
      <c r="BN139" t="b">
        <f t="shared" si="5"/>
        <v>1</v>
      </c>
    </row>
    <row r="140" spans="65:66" x14ac:dyDescent="0.3">
      <c r="BM140" t="e">
        <f t="shared" si="6"/>
        <v>#N/A</v>
      </c>
      <c r="BN140" t="b">
        <f t="shared" si="5"/>
        <v>1</v>
      </c>
    </row>
    <row r="141" spans="65:66" x14ac:dyDescent="0.3">
      <c r="BM141" t="e">
        <f t="shared" si="6"/>
        <v>#N/A</v>
      </c>
      <c r="BN141" t="b">
        <f t="shared" si="5"/>
        <v>1</v>
      </c>
    </row>
    <row r="142" spans="65:66" x14ac:dyDescent="0.3">
      <c r="BM142" t="e">
        <f t="shared" si="6"/>
        <v>#N/A</v>
      </c>
      <c r="BN142" t="b">
        <f t="shared" si="5"/>
        <v>1</v>
      </c>
    </row>
    <row r="143" spans="65:66" x14ac:dyDescent="0.3">
      <c r="BM143" t="e">
        <f t="shared" si="6"/>
        <v>#N/A</v>
      </c>
      <c r="BN143" t="b">
        <f t="shared" si="5"/>
        <v>1</v>
      </c>
    </row>
    <row r="144" spans="65:66" x14ac:dyDescent="0.3">
      <c r="BM144" t="e">
        <f t="shared" si="6"/>
        <v>#N/A</v>
      </c>
      <c r="BN144" t="b">
        <f t="shared" si="5"/>
        <v>1</v>
      </c>
    </row>
    <row r="145" spans="65:66" x14ac:dyDescent="0.3">
      <c r="BM145" t="e">
        <f t="shared" si="6"/>
        <v>#N/A</v>
      </c>
      <c r="BN145" t="b">
        <f t="shared" si="5"/>
        <v>1</v>
      </c>
    </row>
    <row r="146" spans="65:66" x14ac:dyDescent="0.3">
      <c r="BM146" t="e">
        <f t="shared" si="6"/>
        <v>#N/A</v>
      </c>
      <c r="BN146" t="b">
        <f t="shared" si="5"/>
        <v>1</v>
      </c>
    </row>
    <row r="147" spans="65:66" x14ac:dyDescent="0.3">
      <c r="BM147" t="e">
        <f t="shared" si="6"/>
        <v>#N/A</v>
      </c>
      <c r="BN147" t="b">
        <f t="shared" si="5"/>
        <v>1</v>
      </c>
    </row>
    <row r="148" spans="65:66" x14ac:dyDescent="0.3">
      <c r="BM148" t="e">
        <f t="shared" si="6"/>
        <v>#N/A</v>
      </c>
      <c r="BN148" t="b">
        <f t="shared" si="5"/>
        <v>1</v>
      </c>
    </row>
    <row r="149" spans="65:66" x14ac:dyDescent="0.3">
      <c r="BM149" t="e">
        <f t="shared" si="6"/>
        <v>#N/A</v>
      </c>
      <c r="BN149" t="b">
        <f t="shared" si="5"/>
        <v>1</v>
      </c>
    </row>
    <row r="150" spans="65:66" x14ac:dyDescent="0.3">
      <c r="BM150" t="e">
        <f t="shared" si="6"/>
        <v>#N/A</v>
      </c>
      <c r="BN150" t="b">
        <f t="shared" si="5"/>
        <v>1</v>
      </c>
    </row>
    <row r="151" spans="65:66" x14ac:dyDescent="0.3">
      <c r="BM151" t="e">
        <f t="shared" si="6"/>
        <v>#N/A</v>
      </c>
      <c r="BN151" t="b">
        <f t="shared" si="5"/>
        <v>1</v>
      </c>
    </row>
    <row r="152" spans="65:66" x14ac:dyDescent="0.3">
      <c r="BM152" t="e">
        <f t="shared" si="6"/>
        <v>#N/A</v>
      </c>
      <c r="BN152" t="b">
        <f t="shared" si="5"/>
        <v>1</v>
      </c>
    </row>
    <row r="153" spans="65:66" x14ac:dyDescent="0.3">
      <c r="BM153" t="e">
        <f t="shared" si="6"/>
        <v>#N/A</v>
      </c>
      <c r="BN153" t="b">
        <f t="shared" si="5"/>
        <v>1</v>
      </c>
    </row>
    <row r="154" spans="65:66" x14ac:dyDescent="0.3">
      <c r="BM154" t="e">
        <f t="shared" si="6"/>
        <v>#N/A</v>
      </c>
      <c r="BN154" t="b">
        <f t="shared" si="5"/>
        <v>1</v>
      </c>
    </row>
    <row r="155" spans="65:66" x14ac:dyDescent="0.3">
      <c r="BM155" t="e">
        <f t="shared" si="6"/>
        <v>#N/A</v>
      </c>
      <c r="BN155" t="b">
        <f t="shared" si="5"/>
        <v>1</v>
      </c>
    </row>
    <row r="156" spans="65:66" x14ac:dyDescent="0.3">
      <c r="BM156" t="e">
        <f t="shared" si="6"/>
        <v>#N/A</v>
      </c>
      <c r="BN156" t="b">
        <f t="shared" si="5"/>
        <v>1</v>
      </c>
    </row>
    <row r="157" spans="65:66" x14ac:dyDescent="0.3">
      <c r="BM157" t="e">
        <f t="shared" si="6"/>
        <v>#N/A</v>
      </c>
      <c r="BN157" t="b">
        <f t="shared" si="5"/>
        <v>1</v>
      </c>
    </row>
    <row r="158" spans="65:66" x14ac:dyDescent="0.3">
      <c r="BM158" t="e">
        <f t="shared" si="6"/>
        <v>#N/A</v>
      </c>
      <c r="BN158" t="b">
        <f t="shared" si="5"/>
        <v>1</v>
      </c>
    </row>
    <row r="159" spans="65:66" x14ac:dyDescent="0.3">
      <c r="BM159" t="e">
        <f t="shared" si="6"/>
        <v>#N/A</v>
      </c>
      <c r="BN159" t="b">
        <f t="shared" si="5"/>
        <v>1</v>
      </c>
    </row>
    <row r="160" spans="65:66" x14ac:dyDescent="0.3">
      <c r="BM160" t="e">
        <f t="shared" si="6"/>
        <v>#N/A</v>
      </c>
      <c r="BN160" t="b">
        <f t="shared" si="5"/>
        <v>1</v>
      </c>
    </row>
    <row r="161" spans="65:66" x14ac:dyDescent="0.3">
      <c r="BM161" t="e">
        <f t="shared" si="6"/>
        <v>#N/A</v>
      </c>
      <c r="BN161" t="b">
        <f t="shared" si="5"/>
        <v>1</v>
      </c>
    </row>
    <row r="162" spans="65:66" x14ac:dyDescent="0.3">
      <c r="BM162" t="e">
        <f t="shared" si="6"/>
        <v>#N/A</v>
      </c>
      <c r="BN162" t="b">
        <f t="shared" si="5"/>
        <v>1</v>
      </c>
    </row>
    <row r="163" spans="65:66" x14ac:dyDescent="0.3">
      <c r="BM163" t="e">
        <f t="shared" si="6"/>
        <v>#N/A</v>
      </c>
      <c r="BN163" t="b">
        <f t="shared" si="5"/>
        <v>1</v>
      </c>
    </row>
    <row r="164" spans="65:66" x14ac:dyDescent="0.3">
      <c r="BM164" t="e">
        <f t="shared" si="6"/>
        <v>#N/A</v>
      </c>
      <c r="BN164" t="b">
        <f t="shared" si="5"/>
        <v>1</v>
      </c>
    </row>
    <row r="165" spans="65:66" x14ac:dyDescent="0.3">
      <c r="BM165" t="e">
        <f t="shared" si="6"/>
        <v>#N/A</v>
      </c>
      <c r="BN165" t="b">
        <f t="shared" si="5"/>
        <v>1</v>
      </c>
    </row>
    <row r="166" spans="65:66" x14ac:dyDescent="0.3">
      <c r="BM166" t="e">
        <f t="shared" si="6"/>
        <v>#N/A</v>
      </c>
      <c r="BN166" t="b">
        <f t="shared" si="5"/>
        <v>1</v>
      </c>
    </row>
    <row r="167" spans="65:66" x14ac:dyDescent="0.3">
      <c r="BM167" t="e">
        <f t="shared" si="6"/>
        <v>#N/A</v>
      </c>
      <c r="BN167" t="b">
        <f t="shared" si="5"/>
        <v>1</v>
      </c>
    </row>
    <row r="168" spans="65:66" x14ac:dyDescent="0.3">
      <c r="BM168" t="e">
        <f t="shared" si="6"/>
        <v>#N/A</v>
      </c>
      <c r="BN168" t="b">
        <f t="shared" si="5"/>
        <v>1</v>
      </c>
    </row>
    <row r="169" spans="65:66" x14ac:dyDescent="0.3">
      <c r="BM169" t="e">
        <f t="shared" si="6"/>
        <v>#N/A</v>
      </c>
      <c r="BN169" t="b">
        <f t="shared" si="5"/>
        <v>1</v>
      </c>
    </row>
    <row r="170" spans="65:66" x14ac:dyDescent="0.3">
      <c r="BM170" t="e">
        <f t="shared" si="6"/>
        <v>#N/A</v>
      </c>
      <c r="BN170" t="b">
        <f t="shared" si="5"/>
        <v>1</v>
      </c>
    </row>
    <row r="171" spans="65:66" x14ac:dyDescent="0.3">
      <c r="BM171" t="e">
        <f t="shared" si="6"/>
        <v>#N/A</v>
      </c>
      <c r="BN171" t="b">
        <f t="shared" si="5"/>
        <v>1</v>
      </c>
    </row>
    <row r="172" spans="65:66" x14ac:dyDescent="0.3">
      <c r="BM172" t="e">
        <f t="shared" si="6"/>
        <v>#N/A</v>
      </c>
      <c r="BN172" t="b">
        <f t="shared" si="5"/>
        <v>1</v>
      </c>
    </row>
    <row r="173" spans="65:66" x14ac:dyDescent="0.3">
      <c r="BM173" t="e">
        <f t="shared" si="6"/>
        <v>#N/A</v>
      </c>
      <c r="BN173" t="b">
        <f t="shared" si="5"/>
        <v>1</v>
      </c>
    </row>
    <row r="174" spans="65:66" x14ac:dyDescent="0.3">
      <c r="BM174" t="e">
        <f t="shared" si="6"/>
        <v>#N/A</v>
      </c>
      <c r="BN174" t="b">
        <f t="shared" si="5"/>
        <v>1</v>
      </c>
    </row>
    <row r="175" spans="65:66" x14ac:dyDescent="0.3">
      <c r="BM175" t="e">
        <f t="shared" si="6"/>
        <v>#N/A</v>
      </c>
      <c r="BN175" t="b">
        <f t="shared" si="5"/>
        <v>1</v>
      </c>
    </row>
    <row r="176" spans="65:66" x14ac:dyDescent="0.3">
      <c r="BM176" t="e">
        <f t="shared" si="6"/>
        <v>#N/A</v>
      </c>
      <c r="BN176" t="b">
        <f t="shared" si="5"/>
        <v>1</v>
      </c>
    </row>
    <row r="177" spans="65:66" x14ac:dyDescent="0.3">
      <c r="BM177" t="e">
        <f t="shared" si="6"/>
        <v>#N/A</v>
      </c>
      <c r="BN177" t="b">
        <f t="shared" si="5"/>
        <v>1</v>
      </c>
    </row>
    <row r="178" spans="65:66" x14ac:dyDescent="0.3">
      <c r="BM178" t="e">
        <f t="shared" si="6"/>
        <v>#N/A</v>
      </c>
      <c r="BN178" t="b">
        <f t="shared" si="5"/>
        <v>1</v>
      </c>
    </row>
    <row r="179" spans="65:66" x14ac:dyDescent="0.3">
      <c r="BM179" t="e">
        <f t="shared" si="6"/>
        <v>#N/A</v>
      </c>
      <c r="BN179" t="b">
        <f t="shared" si="5"/>
        <v>1</v>
      </c>
    </row>
    <row r="180" spans="65:66" x14ac:dyDescent="0.3">
      <c r="BM180" t="e">
        <f t="shared" si="6"/>
        <v>#N/A</v>
      </c>
      <c r="BN180" t="b">
        <f t="shared" si="5"/>
        <v>1</v>
      </c>
    </row>
    <row r="181" spans="65:66" x14ac:dyDescent="0.3">
      <c r="BM181" t="e">
        <f t="shared" si="6"/>
        <v>#N/A</v>
      </c>
      <c r="BN181" t="b">
        <f t="shared" si="5"/>
        <v>1</v>
      </c>
    </row>
    <row r="182" spans="65:66" x14ac:dyDescent="0.3">
      <c r="BM182" t="e">
        <f t="shared" si="6"/>
        <v>#N/A</v>
      </c>
      <c r="BN182" t="b">
        <f t="shared" si="5"/>
        <v>1</v>
      </c>
    </row>
    <row r="183" spans="65:66" x14ac:dyDescent="0.3">
      <c r="BM183" t="e">
        <f t="shared" si="6"/>
        <v>#N/A</v>
      </c>
      <c r="BN183" t="b">
        <f t="shared" si="5"/>
        <v>1</v>
      </c>
    </row>
    <row r="184" spans="65:66" x14ac:dyDescent="0.3">
      <c r="BM184" t="e">
        <f t="shared" si="6"/>
        <v>#N/A</v>
      </c>
      <c r="BN184" t="b">
        <f t="shared" si="5"/>
        <v>1</v>
      </c>
    </row>
    <row r="185" spans="65:66" x14ac:dyDescent="0.3">
      <c r="BM185" t="e">
        <f t="shared" si="6"/>
        <v>#N/A</v>
      </c>
      <c r="BN185" t="b">
        <f t="shared" si="5"/>
        <v>1</v>
      </c>
    </row>
    <row r="186" spans="65:66" x14ac:dyDescent="0.3">
      <c r="BM186" t="e">
        <f t="shared" si="6"/>
        <v>#N/A</v>
      </c>
      <c r="BN186" t="b">
        <f t="shared" si="5"/>
        <v>1</v>
      </c>
    </row>
    <row r="187" spans="65:66" x14ac:dyDescent="0.3">
      <c r="BM187" t="e">
        <f t="shared" si="6"/>
        <v>#N/A</v>
      </c>
      <c r="BN187" t="b">
        <f t="shared" si="5"/>
        <v>1</v>
      </c>
    </row>
    <row r="188" spans="65:66" x14ac:dyDescent="0.3">
      <c r="BM188" t="e">
        <f t="shared" si="6"/>
        <v>#N/A</v>
      </c>
      <c r="BN188" t="b">
        <f t="shared" si="5"/>
        <v>1</v>
      </c>
    </row>
    <row r="189" spans="65:66" x14ac:dyDescent="0.3">
      <c r="BM189" t="e">
        <f t="shared" si="6"/>
        <v>#N/A</v>
      </c>
      <c r="BN189" t="b">
        <f t="shared" si="5"/>
        <v>1</v>
      </c>
    </row>
    <row r="190" spans="65:66" x14ac:dyDescent="0.3">
      <c r="BM190" t="e">
        <f t="shared" si="6"/>
        <v>#N/A</v>
      </c>
      <c r="BN190" t="b">
        <f t="shared" si="5"/>
        <v>1</v>
      </c>
    </row>
    <row r="191" spans="65:66" x14ac:dyDescent="0.3">
      <c r="BM191" t="e">
        <f t="shared" si="6"/>
        <v>#N/A</v>
      </c>
      <c r="BN191" t="b">
        <f t="shared" si="5"/>
        <v>1</v>
      </c>
    </row>
    <row r="192" spans="65:66" x14ac:dyDescent="0.3">
      <c r="BM192" t="e">
        <f t="shared" si="6"/>
        <v>#N/A</v>
      </c>
      <c r="BN192" t="b">
        <f t="shared" si="5"/>
        <v>1</v>
      </c>
    </row>
    <row r="193" spans="65:66" x14ac:dyDescent="0.3">
      <c r="BM193" t="e">
        <f t="shared" si="6"/>
        <v>#N/A</v>
      </c>
      <c r="BN193" t="b">
        <f t="shared" si="5"/>
        <v>1</v>
      </c>
    </row>
    <row r="194" spans="65:66" x14ac:dyDescent="0.3">
      <c r="BM194" t="e">
        <f t="shared" si="6"/>
        <v>#N/A</v>
      </c>
      <c r="BN194" t="b">
        <f t="shared" si="5"/>
        <v>1</v>
      </c>
    </row>
    <row r="195" spans="65:66" x14ac:dyDescent="0.3">
      <c r="BM195" t="e">
        <f t="shared" si="6"/>
        <v>#N/A</v>
      </c>
      <c r="BN195" t="b">
        <f t="shared" ref="BN195:BN258" si="7">IF(OR(ISNA(BM195)=FALSE,ISNA(BM196)=FALSE),FALSE,TRUE)</f>
        <v>1</v>
      </c>
    </row>
    <row r="196" spans="65:66" x14ac:dyDescent="0.3">
      <c r="BM196" t="e">
        <f t="shared" si="6"/>
        <v>#N/A</v>
      </c>
      <c r="BN196" t="b">
        <f t="shared" si="7"/>
        <v>1</v>
      </c>
    </row>
    <row r="197" spans="65:66" x14ac:dyDescent="0.3">
      <c r="BM197" t="e">
        <f t="shared" si="6"/>
        <v>#N/A</v>
      </c>
      <c r="BN197" t="b">
        <f t="shared" si="7"/>
        <v>1</v>
      </c>
    </row>
    <row r="198" spans="65:66" x14ac:dyDescent="0.3">
      <c r="BM198" t="e">
        <f t="shared" ref="BM198:BM261" si="8">IF(OR(BL197="✔",BL198="✔"),#N/A,VLOOKUP(B197&amp;"*",B198,1,FALSE))</f>
        <v>#N/A</v>
      </c>
      <c r="BN198" t="b">
        <f t="shared" si="7"/>
        <v>1</v>
      </c>
    </row>
    <row r="199" spans="65:66" x14ac:dyDescent="0.3">
      <c r="BM199" t="e">
        <f t="shared" si="8"/>
        <v>#N/A</v>
      </c>
      <c r="BN199" t="b">
        <f t="shared" si="7"/>
        <v>1</v>
      </c>
    </row>
    <row r="200" spans="65:66" x14ac:dyDescent="0.3">
      <c r="BM200" t="e">
        <f t="shared" si="8"/>
        <v>#N/A</v>
      </c>
      <c r="BN200" t="b">
        <f t="shared" si="7"/>
        <v>1</v>
      </c>
    </row>
    <row r="201" spans="65:66" x14ac:dyDescent="0.3">
      <c r="BM201" t="e">
        <f t="shared" si="8"/>
        <v>#N/A</v>
      </c>
      <c r="BN201" t="b">
        <f t="shared" si="7"/>
        <v>1</v>
      </c>
    </row>
    <row r="202" spans="65:66" x14ac:dyDescent="0.3">
      <c r="BM202" t="e">
        <f t="shared" si="8"/>
        <v>#N/A</v>
      </c>
      <c r="BN202" t="b">
        <f t="shared" si="7"/>
        <v>1</v>
      </c>
    </row>
    <row r="203" spans="65:66" x14ac:dyDescent="0.3">
      <c r="BM203" t="e">
        <f t="shared" si="8"/>
        <v>#N/A</v>
      </c>
      <c r="BN203" t="b">
        <f t="shared" si="7"/>
        <v>1</v>
      </c>
    </row>
    <row r="204" spans="65:66" x14ac:dyDescent="0.3">
      <c r="BM204" t="e">
        <f t="shared" si="8"/>
        <v>#N/A</v>
      </c>
      <c r="BN204" t="b">
        <f t="shared" si="7"/>
        <v>1</v>
      </c>
    </row>
    <row r="205" spans="65:66" x14ac:dyDescent="0.3">
      <c r="BM205" t="e">
        <f t="shared" si="8"/>
        <v>#N/A</v>
      </c>
      <c r="BN205" t="b">
        <f t="shared" si="7"/>
        <v>1</v>
      </c>
    </row>
    <row r="206" spans="65:66" x14ac:dyDescent="0.3">
      <c r="BM206" t="e">
        <f t="shared" si="8"/>
        <v>#N/A</v>
      </c>
      <c r="BN206" t="b">
        <f t="shared" si="7"/>
        <v>1</v>
      </c>
    </row>
    <row r="207" spans="65:66" x14ac:dyDescent="0.3">
      <c r="BM207" t="e">
        <f t="shared" si="8"/>
        <v>#N/A</v>
      </c>
      <c r="BN207" t="b">
        <f t="shared" si="7"/>
        <v>1</v>
      </c>
    </row>
    <row r="208" spans="65:66" x14ac:dyDescent="0.3">
      <c r="BM208" t="e">
        <f t="shared" si="8"/>
        <v>#N/A</v>
      </c>
      <c r="BN208" t="b">
        <f t="shared" si="7"/>
        <v>1</v>
      </c>
    </row>
    <row r="209" spans="65:66" x14ac:dyDescent="0.3">
      <c r="BM209" t="e">
        <f t="shared" si="8"/>
        <v>#N/A</v>
      </c>
      <c r="BN209" t="b">
        <f t="shared" si="7"/>
        <v>1</v>
      </c>
    </row>
    <row r="210" spans="65:66" x14ac:dyDescent="0.3">
      <c r="BM210" t="e">
        <f t="shared" si="8"/>
        <v>#N/A</v>
      </c>
      <c r="BN210" t="b">
        <f t="shared" si="7"/>
        <v>1</v>
      </c>
    </row>
    <row r="211" spans="65:66" x14ac:dyDescent="0.3">
      <c r="BM211" t="e">
        <f t="shared" si="8"/>
        <v>#N/A</v>
      </c>
      <c r="BN211" t="b">
        <f t="shared" si="7"/>
        <v>1</v>
      </c>
    </row>
    <row r="212" spans="65:66" x14ac:dyDescent="0.3">
      <c r="BM212" t="e">
        <f t="shared" si="8"/>
        <v>#N/A</v>
      </c>
      <c r="BN212" t="b">
        <f t="shared" si="7"/>
        <v>1</v>
      </c>
    </row>
    <row r="213" spans="65:66" x14ac:dyDescent="0.3">
      <c r="BM213" t="e">
        <f t="shared" si="8"/>
        <v>#N/A</v>
      </c>
      <c r="BN213" t="b">
        <f t="shared" si="7"/>
        <v>1</v>
      </c>
    </row>
    <row r="214" spans="65:66" x14ac:dyDescent="0.3">
      <c r="BM214" t="e">
        <f t="shared" si="8"/>
        <v>#N/A</v>
      </c>
      <c r="BN214" t="b">
        <f t="shared" si="7"/>
        <v>1</v>
      </c>
    </row>
    <row r="215" spans="65:66" x14ac:dyDescent="0.3">
      <c r="BM215" t="e">
        <f t="shared" si="8"/>
        <v>#N/A</v>
      </c>
      <c r="BN215" t="b">
        <f t="shared" si="7"/>
        <v>1</v>
      </c>
    </row>
    <row r="216" spans="65:66" x14ac:dyDescent="0.3">
      <c r="BM216" t="e">
        <f t="shared" si="8"/>
        <v>#N/A</v>
      </c>
      <c r="BN216" t="b">
        <f t="shared" si="7"/>
        <v>1</v>
      </c>
    </row>
    <row r="217" spans="65:66" x14ac:dyDescent="0.3">
      <c r="BM217" t="e">
        <f t="shared" si="8"/>
        <v>#N/A</v>
      </c>
      <c r="BN217" t="b">
        <f t="shared" si="7"/>
        <v>1</v>
      </c>
    </row>
    <row r="218" spans="65:66" x14ac:dyDescent="0.3">
      <c r="BM218" t="e">
        <f t="shared" si="8"/>
        <v>#N/A</v>
      </c>
      <c r="BN218" t="b">
        <f t="shared" si="7"/>
        <v>1</v>
      </c>
    </row>
    <row r="219" spans="65:66" x14ac:dyDescent="0.3">
      <c r="BM219" t="e">
        <f t="shared" si="8"/>
        <v>#N/A</v>
      </c>
      <c r="BN219" t="b">
        <f t="shared" si="7"/>
        <v>1</v>
      </c>
    </row>
    <row r="220" spans="65:66" x14ac:dyDescent="0.3">
      <c r="BM220" t="e">
        <f t="shared" si="8"/>
        <v>#N/A</v>
      </c>
      <c r="BN220" t="b">
        <f t="shared" si="7"/>
        <v>1</v>
      </c>
    </row>
    <row r="221" spans="65:66" x14ac:dyDescent="0.3">
      <c r="BM221" t="e">
        <f t="shared" si="8"/>
        <v>#N/A</v>
      </c>
      <c r="BN221" t="b">
        <f t="shared" si="7"/>
        <v>1</v>
      </c>
    </row>
    <row r="222" spans="65:66" x14ac:dyDescent="0.3">
      <c r="BM222" t="e">
        <f t="shared" si="8"/>
        <v>#N/A</v>
      </c>
      <c r="BN222" t="b">
        <f t="shared" si="7"/>
        <v>1</v>
      </c>
    </row>
    <row r="223" spans="65:66" x14ac:dyDescent="0.3">
      <c r="BM223" t="e">
        <f t="shared" si="8"/>
        <v>#N/A</v>
      </c>
      <c r="BN223" t="b">
        <f t="shared" si="7"/>
        <v>1</v>
      </c>
    </row>
    <row r="224" spans="65:66" x14ac:dyDescent="0.3">
      <c r="BM224" t="e">
        <f t="shared" si="8"/>
        <v>#N/A</v>
      </c>
      <c r="BN224" t="b">
        <f t="shared" si="7"/>
        <v>1</v>
      </c>
    </row>
    <row r="225" spans="65:66" x14ac:dyDescent="0.3">
      <c r="BM225" t="e">
        <f t="shared" si="8"/>
        <v>#N/A</v>
      </c>
      <c r="BN225" t="b">
        <f t="shared" si="7"/>
        <v>1</v>
      </c>
    </row>
    <row r="226" spans="65:66" x14ac:dyDescent="0.3">
      <c r="BM226" t="e">
        <f t="shared" si="8"/>
        <v>#N/A</v>
      </c>
      <c r="BN226" t="b">
        <f t="shared" si="7"/>
        <v>1</v>
      </c>
    </row>
    <row r="227" spans="65:66" x14ac:dyDescent="0.3">
      <c r="BM227" t="e">
        <f t="shared" si="8"/>
        <v>#N/A</v>
      </c>
      <c r="BN227" t="b">
        <f t="shared" si="7"/>
        <v>1</v>
      </c>
    </row>
    <row r="228" spans="65:66" x14ac:dyDescent="0.3">
      <c r="BM228" t="e">
        <f t="shared" si="8"/>
        <v>#N/A</v>
      </c>
      <c r="BN228" t="b">
        <f t="shared" si="7"/>
        <v>1</v>
      </c>
    </row>
    <row r="229" spans="65:66" x14ac:dyDescent="0.3">
      <c r="BM229" t="e">
        <f t="shared" si="8"/>
        <v>#N/A</v>
      </c>
      <c r="BN229" t="b">
        <f t="shared" si="7"/>
        <v>1</v>
      </c>
    </row>
    <row r="230" spans="65:66" x14ac:dyDescent="0.3">
      <c r="BM230" t="e">
        <f t="shared" si="8"/>
        <v>#N/A</v>
      </c>
      <c r="BN230" t="b">
        <f t="shared" si="7"/>
        <v>1</v>
      </c>
    </row>
    <row r="231" spans="65:66" x14ac:dyDescent="0.3">
      <c r="BM231" t="e">
        <f t="shared" si="8"/>
        <v>#N/A</v>
      </c>
      <c r="BN231" t="b">
        <f t="shared" si="7"/>
        <v>1</v>
      </c>
    </row>
    <row r="232" spans="65:66" x14ac:dyDescent="0.3">
      <c r="BM232" t="e">
        <f t="shared" si="8"/>
        <v>#N/A</v>
      </c>
      <c r="BN232" t="b">
        <f t="shared" si="7"/>
        <v>1</v>
      </c>
    </row>
    <row r="233" spans="65:66" x14ac:dyDescent="0.3">
      <c r="BM233" t="e">
        <f t="shared" si="8"/>
        <v>#N/A</v>
      </c>
      <c r="BN233" t="b">
        <f t="shared" si="7"/>
        <v>1</v>
      </c>
    </row>
    <row r="234" spans="65:66" x14ac:dyDescent="0.3">
      <c r="BM234" t="e">
        <f t="shared" si="8"/>
        <v>#N/A</v>
      </c>
      <c r="BN234" t="b">
        <f t="shared" si="7"/>
        <v>1</v>
      </c>
    </row>
    <row r="235" spans="65:66" x14ac:dyDescent="0.3">
      <c r="BM235" t="e">
        <f t="shared" si="8"/>
        <v>#N/A</v>
      </c>
      <c r="BN235" t="b">
        <f t="shared" si="7"/>
        <v>1</v>
      </c>
    </row>
    <row r="236" spans="65:66" x14ac:dyDescent="0.3">
      <c r="BM236" t="e">
        <f t="shared" si="8"/>
        <v>#N/A</v>
      </c>
      <c r="BN236" t="b">
        <f t="shared" si="7"/>
        <v>1</v>
      </c>
    </row>
    <row r="237" spans="65:66" x14ac:dyDescent="0.3">
      <c r="BM237" t="e">
        <f t="shared" si="8"/>
        <v>#N/A</v>
      </c>
      <c r="BN237" t="b">
        <f t="shared" si="7"/>
        <v>1</v>
      </c>
    </row>
    <row r="238" spans="65:66" x14ac:dyDescent="0.3">
      <c r="BM238" t="e">
        <f t="shared" si="8"/>
        <v>#N/A</v>
      </c>
      <c r="BN238" t="b">
        <f t="shared" si="7"/>
        <v>1</v>
      </c>
    </row>
    <row r="239" spans="65:66" x14ac:dyDescent="0.3">
      <c r="BM239" t="e">
        <f t="shared" si="8"/>
        <v>#N/A</v>
      </c>
      <c r="BN239" t="b">
        <f t="shared" si="7"/>
        <v>1</v>
      </c>
    </row>
    <row r="240" spans="65:66" x14ac:dyDescent="0.3">
      <c r="BM240" t="e">
        <f t="shared" si="8"/>
        <v>#N/A</v>
      </c>
      <c r="BN240" t="b">
        <f t="shared" si="7"/>
        <v>1</v>
      </c>
    </row>
    <row r="241" spans="65:66" x14ac:dyDescent="0.3">
      <c r="BM241" t="e">
        <f t="shared" si="8"/>
        <v>#N/A</v>
      </c>
      <c r="BN241" t="b">
        <f t="shared" si="7"/>
        <v>1</v>
      </c>
    </row>
    <row r="242" spans="65:66" x14ac:dyDescent="0.3">
      <c r="BM242" t="e">
        <f t="shared" si="8"/>
        <v>#N/A</v>
      </c>
      <c r="BN242" t="b">
        <f t="shared" si="7"/>
        <v>1</v>
      </c>
    </row>
    <row r="243" spans="65:66" x14ac:dyDescent="0.3">
      <c r="BM243" t="e">
        <f t="shared" si="8"/>
        <v>#N/A</v>
      </c>
      <c r="BN243" t="b">
        <f t="shared" si="7"/>
        <v>1</v>
      </c>
    </row>
    <row r="244" spans="65:66" x14ac:dyDescent="0.3">
      <c r="BM244" t="e">
        <f t="shared" si="8"/>
        <v>#N/A</v>
      </c>
      <c r="BN244" t="b">
        <f t="shared" si="7"/>
        <v>1</v>
      </c>
    </row>
    <row r="245" spans="65:66" x14ac:dyDescent="0.3">
      <c r="BM245" t="e">
        <f t="shared" si="8"/>
        <v>#N/A</v>
      </c>
      <c r="BN245" t="b">
        <f t="shared" si="7"/>
        <v>1</v>
      </c>
    </row>
    <row r="246" spans="65:66" x14ac:dyDescent="0.3">
      <c r="BM246" t="e">
        <f t="shared" si="8"/>
        <v>#N/A</v>
      </c>
      <c r="BN246" t="b">
        <f t="shared" si="7"/>
        <v>1</v>
      </c>
    </row>
    <row r="247" spans="65:66" x14ac:dyDescent="0.3">
      <c r="BM247" t="e">
        <f t="shared" si="8"/>
        <v>#N/A</v>
      </c>
      <c r="BN247" t="b">
        <f t="shared" si="7"/>
        <v>1</v>
      </c>
    </row>
    <row r="248" spans="65:66" x14ac:dyDescent="0.3">
      <c r="BM248" t="e">
        <f t="shared" si="8"/>
        <v>#N/A</v>
      </c>
      <c r="BN248" t="b">
        <f t="shared" si="7"/>
        <v>1</v>
      </c>
    </row>
    <row r="249" spans="65:66" x14ac:dyDescent="0.3">
      <c r="BM249" t="e">
        <f t="shared" si="8"/>
        <v>#N/A</v>
      </c>
      <c r="BN249" t="b">
        <f t="shared" si="7"/>
        <v>1</v>
      </c>
    </row>
    <row r="250" spans="65:66" x14ac:dyDescent="0.3">
      <c r="BM250" t="e">
        <f t="shared" si="8"/>
        <v>#N/A</v>
      </c>
      <c r="BN250" t="b">
        <f t="shared" si="7"/>
        <v>1</v>
      </c>
    </row>
    <row r="251" spans="65:66" x14ac:dyDescent="0.3">
      <c r="BM251" t="e">
        <f t="shared" si="8"/>
        <v>#N/A</v>
      </c>
      <c r="BN251" t="b">
        <f t="shared" si="7"/>
        <v>1</v>
      </c>
    </row>
    <row r="252" spans="65:66" x14ac:dyDescent="0.3">
      <c r="BM252" t="e">
        <f t="shared" si="8"/>
        <v>#N/A</v>
      </c>
      <c r="BN252" t="b">
        <f t="shared" si="7"/>
        <v>1</v>
      </c>
    </row>
    <row r="253" spans="65:66" x14ac:dyDescent="0.3">
      <c r="BM253" t="e">
        <f t="shared" si="8"/>
        <v>#N/A</v>
      </c>
      <c r="BN253" t="b">
        <f t="shared" si="7"/>
        <v>1</v>
      </c>
    </row>
    <row r="254" spans="65:66" x14ac:dyDescent="0.3">
      <c r="BM254" t="e">
        <f t="shared" si="8"/>
        <v>#N/A</v>
      </c>
      <c r="BN254" t="b">
        <f t="shared" si="7"/>
        <v>1</v>
      </c>
    </row>
    <row r="255" spans="65:66" x14ac:dyDescent="0.3">
      <c r="BM255" t="e">
        <f t="shared" si="8"/>
        <v>#N/A</v>
      </c>
      <c r="BN255" t="b">
        <f t="shared" si="7"/>
        <v>1</v>
      </c>
    </row>
    <row r="256" spans="65:66" x14ac:dyDescent="0.3">
      <c r="BM256" t="e">
        <f t="shared" si="8"/>
        <v>#N/A</v>
      </c>
      <c r="BN256" t="b">
        <f t="shared" si="7"/>
        <v>1</v>
      </c>
    </row>
    <row r="257" spans="65:66" x14ac:dyDescent="0.3">
      <c r="BM257" t="e">
        <f t="shared" si="8"/>
        <v>#N/A</v>
      </c>
      <c r="BN257" t="b">
        <f t="shared" si="7"/>
        <v>1</v>
      </c>
    </row>
    <row r="258" spans="65:66" x14ac:dyDescent="0.3">
      <c r="BM258" t="e">
        <f t="shared" si="8"/>
        <v>#N/A</v>
      </c>
      <c r="BN258" t="b">
        <f t="shared" si="7"/>
        <v>1</v>
      </c>
    </row>
    <row r="259" spans="65:66" x14ac:dyDescent="0.3">
      <c r="BM259" t="e">
        <f t="shared" si="8"/>
        <v>#N/A</v>
      </c>
      <c r="BN259" t="b">
        <f t="shared" ref="BN259:BN322" si="9">IF(OR(ISNA(BM259)=FALSE,ISNA(BM260)=FALSE),FALSE,TRUE)</f>
        <v>1</v>
      </c>
    </row>
    <row r="260" spans="65:66" x14ac:dyDescent="0.3">
      <c r="BM260" t="e">
        <f t="shared" si="8"/>
        <v>#N/A</v>
      </c>
      <c r="BN260" t="b">
        <f t="shared" si="9"/>
        <v>1</v>
      </c>
    </row>
    <row r="261" spans="65:66" x14ac:dyDescent="0.3">
      <c r="BM261" t="e">
        <f t="shared" si="8"/>
        <v>#N/A</v>
      </c>
      <c r="BN261" t="b">
        <f t="shared" si="9"/>
        <v>1</v>
      </c>
    </row>
    <row r="262" spans="65:66" x14ac:dyDescent="0.3">
      <c r="BM262" t="e">
        <f t="shared" ref="BM262:BM325" si="10">IF(OR(BL261="✔",BL262="✔"),#N/A,VLOOKUP(B261&amp;"*",B262,1,FALSE))</f>
        <v>#N/A</v>
      </c>
      <c r="BN262" t="b">
        <f t="shared" si="9"/>
        <v>1</v>
      </c>
    </row>
    <row r="263" spans="65:66" x14ac:dyDescent="0.3">
      <c r="BM263" t="e">
        <f t="shared" si="10"/>
        <v>#N/A</v>
      </c>
      <c r="BN263" t="b">
        <f t="shared" si="9"/>
        <v>1</v>
      </c>
    </row>
    <row r="264" spans="65:66" x14ac:dyDescent="0.3">
      <c r="BM264" t="e">
        <f t="shared" si="10"/>
        <v>#N/A</v>
      </c>
      <c r="BN264" t="b">
        <f t="shared" si="9"/>
        <v>1</v>
      </c>
    </row>
    <row r="265" spans="65:66" x14ac:dyDescent="0.3">
      <c r="BM265" t="e">
        <f t="shared" si="10"/>
        <v>#N/A</v>
      </c>
      <c r="BN265" t="b">
        <f t="shared" si="9"/>
        <v>1</v>
      </c>
    </row>
    <row r="266" spans="65:66" x14ac:dyDescent="0.3">
      <c r="BM266" t="e">
        <f t="shared" si="10"/>
        <v>#N/A</v>
      </c>
      <c r="BN266" t="b">
        <f t="shared" si="9"/>
        <v>1</v>
      </c>
    </row>
    <row r="267" spans="65:66" x14ac:dyDescent="0.3">
      <c r="BM267" t="e">
        <f t="shared" si="10"/>
        <v>#N/A</v>
      </c>
      <c r="BN267" t="b">
        <f t="shared" si="9"/>
        <v>1</v>
      </c>
    </row>
    <row r="268" spans="65:66" x14ac:dyDescent="0.3">
      <c r="BM268" t="e">
        <f t="shared" si="10"/>
        <v>#N/A</v>
      </c>
      <c r="BN268" t="b">
        <f t="shared" si="9"/>
        <v>1</v>
      </c>
    </row>
    <row r="269" spans="65:66" x14ac:dyDescent="0.3">
      <c r="BM269" t="e">
        <f t="shared" si="10"/>
        <v>#N/A</v>
      </c>
      <c r="BN269" t="b">
        <f t="shared" si="9"/>
        <v>1</v>
      </c>
    </row>
    <row r="270" spans="65:66" x14ac:dyDescent="0.3">
      <c r="BM270" t="e">
        <f t="shared" si="10"/>
        <v>#N/A</v>
      </c>
      <c r="BN270" t="b">
        <f t="shared" si="9"/>
        <v>1</v>
      </c>
    </row>
    <row r="271" spans="65:66" x14ac:dyDescent="0.3">
      <c r="BM271" t="e">
        <f t="shared" si="10"/>
        <v>#N/A</v>
      </c>
      <c r="BN271" t="b">
        <f t="shared" si="9"/>
        <v>1</v>
      </c>
    </row>
    <row r="272" spans="65:66" x14ac:dyDescent="0.3">
      <c r="BM272" t="e">
        <f t="shared" si="10"/>
        <v>#N/A</v>
      </c>
      <c r="BN272" t="b">
        <f t="shared" si="9"/>
        <v>1</v>
      </c>
    </row>
    <row r="273" spans="65:66" x14ac:dyDescent="0.3">
      <c r="BM273" t="e">
        <f t="shared" si="10"/>
        <v>#N/A</v>
      </c>
      <c r="BN273" t="b">
        <f t="shared" si="9"/>
        <v>1</v>
      </c>
    </row>
    <row r="274" spans="65:66" x14ac:dyDescent="0.3">
      <c r="BM274" t="e">
        <f t="shared" si="10"/>
        <v>#N/A</v>
      </c>
      <c r="BN274" t="b">
        <f t="shared" si="9"/>
        <v>1</v>
      </c>
    </row>
    <row r="275" spans="65:66" x14ac:dyDescent="0.3">
      <c r="BM275" t="e">
        <f t="shared" si="10"/>
        <v>#N/A</v>
      </c>
      <c r="BN275" t="b">
        <f t="shared" si="9"/>
        <v>1</v>
      </c>
    </row>
    <row r="276" spans="65:66" x14ac:dyDescent="0.3">
      <c r="BM276" t="e">
        <f t="shared" si="10"/>
        <v>#N/A</v>
      </c>
      <c r="BN276" t="b">
        <f t="shared" si="9"/>
        <v>1</v>
      </c>
    </row>
    <row r="277" spans="65:66" x14ac:dyDescent="0.3">
      <c r="BM277" t="e">
        <f t="shared" si="10"/>
        <v>#N/A</v>
      </c>
      <c r="BN277" t="b">
        <f t="shared" si="9"/>
        <v>1</v>
      </c>
    </row>
    <row r="278" spans="65:66" x14ac:dyDescent="0.3">
      <c r="BM278" t="e">
        <f t="shared" si="10"/>
        <v>#N/A</v>
      </c>
      <c r="BN278" t="b">
        <f t="shared" si="9"/>
        <v>1</v>
      </c>
    </row>
    <row r="279" spans="65:66" x14ac:dyDescent="0.3">
      <c r="BM279" t="e">
        <f t="shared" si="10"/>
        <v>#N/A</v>
      </c>
      <c r="BN279" t="b">
        <f t="shared" si="9"/>
        <v>1</v>
      </c>
    </row>
    <row r="280" spans="65:66" x14ac:dyDescent="0.3">
      <c r="BM280" t="e">
        <f t="shared" si="10"/>
        <v>#N/A</v>
      </c>
      <c r="BN280" t="b">
        <f t="shared" si="9"/>
        <v>1</v>
      </c>
    </row>
    <row r="281" spans="65:66" x14ac:dyDescent="0.3">
      <c r="BM281" t="e">
        <f t="shared" si="10"/>
        <v>#N/A</v>
      </c>
      <c r="BN281" t="b">
        <f t="shared" si="9"/>
        <v>1</v>
      </c>
    </row>
    <row r="282" spans="65:66" x14ac:dyDescent="0.3">
      <c r="BM282" t="e">
        <f t="shared" si="10"/>
        <v>#N/A</v>
      </c>
      <c r="BN282" t="b">
        <f t="shared" si="9"/>
        <v>1</v>
      </c>
    </row>
    <row r="283" spans="65:66" x14ac:dyDescent="0.3">
      <c r="BM283" t="e">
        <f t="shared" si="10"/>
        <v>#N/A</v>
      </c>
      <c r="BN283" t="b">
        <f t="shared" si="9"/>
        <v>1</v>
      </c>
    </row>
    <row r="284" spans="65:66" x14ac:dyDescent="0.3">
      <c r="BM284" t="e">
        <f t="shared" si="10"/>
        <v>#N/A</v>
      </c>
      <c r="BN284" t="b">
        <f t="shared" si="9"/>
        <v>1</v>
      </c>
    </row>
    <row r="285" spans="65:66" x14ac:dyDescent="0.3">
      <c r="BM285" t="e">
        <f t="shared" si="10"/>
        <v>#N/A</v>
      </c>
      <c r="BN285" t="b">
        <f t="shared" si="9"/>
        <v>1</v>
      </c>
    </row>
    <row r="286" spans="65:66" x14ac:dyDescent="0.3">
      <c r="BM286" t="e">
        <f t="shared" si="10"/>
        <v>#N/A</v>
      </c>
      <c r="BN286" t="b">
        <f t="shared" si="9"/>
        <v>1</v>
      </c>
    </row>
    <row r="287" spans="65:66" x14ac:dyDescent="0.3">
      <c r="BM287" t="e">
        <f t="shared" si="10"/>
        <v>#N/A</v>
      </c>
      <c r="BN287" t="b">
        <f t="shared" si="9"/>
        <v>1</v>
      </c>
    </row>
    <row r="288" spans="65:66" x14ac:dyDescent="0.3">
      <c r="BM288" t="e">
        <f t="shared" si="10"/>
        <v>#N/A</v>
      </c>
      <c r="BN288" t="b">
        <f t="shared" si="9"/>
        <v>1</v>
      </c>
    </row>
    <row r="289" spans="65:66" x14ac:dyDescent="0.3">
      <c r="BM289" t="e">
        <f t="shared" si="10"/>
        <v>#N/A</v>
      </c>
      <c r="BN289" t="b">
        <f t="shared" si="9"/>
        <v>1</v>
      </c>
    </row>
    <row r="290" spans="65:66" x14ac:dyDescent="0.3">
      <c r="BM290" t="e">
        <f t="shared" si="10"/>
        <v>#N/A</v>
      </c>
      <c r="BN290" t="b">
        <f t="shared" si="9"/>
        <v>1</v>
      </c>
    </row>
    <row r="291" spans="65:66" x14ac:dyDescent="0.3">
      <c r="BM291" t="e">
        <f t="shared" si="10"/>
        <v>#N/A</v>
      </c>
      <c r="BN291" t="b">
        <f t="shared" si="9"/>
        <v>1</v>
      </c>
    </row>
    <row r="292" spans="65:66" x14ac:dyDescent="0.3">
      <c r="BM292" t="e">
        <f t="shared" si="10"/>
        <v>#N/A</v>
      </c>
      <c r="BN292" t="b">
        <f t="shared" si="9"/>
        <v>1</v>
      </c>
    </row>
    <row r="293" spans="65:66" x14ac:dyDescent="0.3">
      <c r="BM293" t="e">
        <f t="shared" si="10"/>
        <v>#N/A</v>
      </c>
      <c r="BN293" t="b">
        <f t="shared" si="9"/>
        <v>1</v>
      </c>
    </row>
    <row r="294" spans="65:66" x14ac:dyDescent="0.3">
      <c r="BM294" t="e">
        <f t="shared" si="10"/>
        <v>#N/A</v>
      </c>
      <c r="BN294" t="b">
        <f t="shared" si="9"/>
        <v>1</v>
      </c>
    </row>
    <row r="295" spans="65:66" x14ac:dyDescent="0.3">
      <c r="BM295" t="e">
        <f t="shared" si="10"/>
        <v>#N/A</v>
      </c>
      <c r="BN295" t="b">
        <f t="shared" si="9"/>
        <v>1</v>
      </c>
    </row>
    <row r="296" spans="65:66" x14ac:dyDescent="0.3">
      <c r="BM296" t="e">
        <f t="shared" si="10"/>
        <v>#N/A</v>
      </c>
      <c r="BN296" t="b">
        <f t="shared" si="9"/>
        <v>1</v>
      </c>
    </row>
    <row r="297" spans="65:66" x14ac:dyDescent="0.3">
      <c r="BM297" t="e">
        <f t="shared" si="10"/>
        <v>#N/A</v>
      </c>
      <c r="BN297" t="b">
        <f t="shared" si="9"/>
        <v>1</v>
      </c>
    </row>
    <row r="298" spans="65:66" x14ac:dyDescent="0.3">
      <c r="BM298" t="e">
        <f t="shared" si="10"/>
        <v>#N/A</v>
      </c>
      <c r="BN298" t="b">
        <f t="shared" si="9"/>
        <v>1</v>
      </c>
    </row>
    <row r="299" spans="65:66" x14ac:dyDescent="0.3">
      <c r="BM299" t="e">
        <f t="shared" si="10"/>
        <v>#N/A</v>
      </c>
      <c r="BN299" t="b">
        <f t="shared" si="9"/>
        <v>1</v>
      </c>
    </row>
    <row r="300" spans="65:66" x14ac:dyDescent="0.3">
      <c r="BM300" t="e">
        <f t="shared" si="10"/>
        <v>#N/A</v>
      </c>
      <c r="BN300" t="b">
        <f t="shared" si="9"/>
        <v>1</v>
      </c>
    </row>
    <row r="301" spans="65:66" x14ac:dyDescent="0.3">
      <c r="BM301" t="e">
        <f t="shared" si="10"/>
        <v>#N/A</v>
      </c>
      <c r="BN301" t="b">
        <f t="shared" si="9"/>
        <v>1</v>
      </c>
    </row>
    <row r="302" spans="65:66" x14ac:dyDescent="0.3">
      <c r="BM302" t="e">
        <f t="shared" si="10"/>
        <v>#N/A</v>
      </c>
      <c r="BN302" t="b">
        <f t="shared" si="9"/>
        <v>1</v>
      </c>
    </row>
    <row r="303" spans="65:66" x14ac:dyDescent="0.3">
      <c r="BM303" t="e">
        <f t="shared" si="10"/>
        <v>#N/A</v>
      </c>
      <c r="BN303" t="b">
        <f t="shared" si="9"/>
        <v>1</v>
      </c>
    </row>
    <row r="304" spans="65:66" x14ac:dyDescent="0.3">
      <c r="BM304" t="e">
        <f t="shared" si="10"/>
        <v>#N/A</v>
      </c>
      <c r="BN304" t="b">
        <f t="shared" si="9"/>
        <v>1</v>
      </c>
    </row>
    <row r="305" spans="65:66" x14ac:dyDescent="0.3">
      <c r="BM305" t="e">
        <f t="shared" si="10"/>
        <v>#N/A</v>
      </c>
      <c r="BN305" t="b">
        <f t="shared" si="9"/>
        <v>1</v>
      </c>
    </row>
    <row r="306" spans="65:66" x14ac:dyDescent="0.3">
      <c r="BM306" t="e">
        <f t="shared" si="10"/>
        <v>#N/A</v>
      </c>
      <c r="BN306" t="b">
        <f t="shared" si="9"/>
        <v>1</v>
      </c>
    </row>
    <row r="307" spans="65:66" x14ac:dyDescent="0.3">
      <c r="BM307" t="e">
        <f t="shared" si="10"/>
        <v>#N/A</v>
      </c>
      <c r="BN307" t="b">
        <f t="shared" si="9"/>
        <v>1</v>
      </c>
    </row>
    <row r="308" spans="65:66" x14ac:dyDescent="0.3">
      <c r="BM308" t="e">
        <f t="shared" si="10"/>
        <v>#N/A</v>
      </c>
      <c r="BN308" t="b">
        <f t="shared" si="9"/>
        <v>1</v>
      </c>
    </row>
    <row r="309" spans="65:66" x14ac:dyDescent="0.3">
      <c r="BM309" t="e">
        <f t="shared" si="10"/>
        <v>#N/A</v>
      </c>
      <c r="BN309" t="b">
        <f t="shared" si="9"/>
        <v>1</v>
      </c>
    </row>
    <row r="310" spans="65:66" x14ac:dyDescent="0.3">
      <c r="BM310" t="e">
        <f t="shared" si="10"/>
        <v>#N/A</v>
      </c>
      <c r="BN310" t="b">
        <f t="shared" si="9"/>
        <v>1</v>
      </c>
    </row>
    <row r="311" spans="65:66" x14ac:dyDescent="0.3">
      <c r="BM311" t="e">
        <f t="shared" si="10"/>
        <v>#N/A</v>
      </c>
      <c r="BN311" t="b">
        <f t="shared" si="9"/>
        <v>1</v>
      </c>
    </row>
    <row r="312" spans="65:66" x14ac:dyDescent="0.3">
      <c r="BM312" t="e">
        <f t="shared" si="10"/>
        <v>#N/A</v>
      </c>
      <c r="BN312" t="b">
        <f t="shared" si="9"/>
        <v>1</v>
      </c>
    </row>
    <row r="313" spans="65:66" x14ac:dyDescent="0.3">
      <c r="BM313" t="e">
        <f t="shared" si="10"/>
        <v>#N/A</v>
      </c>
      <c r="BN313" t="b">
        <f t="shared" si="9"/>
        <v>1</v>
      </c>
    </row>
    <row r="314" spans="65:66" x14ac:dyDescent="0.3">
      <c r="BM314" t="e">
        <f t="shared" si="10"/>
        <v>#N/A</v>
      </c>
      <c r="BN314" t="b">
        <f t="shared" si="9"/>
        <v>1</v>
      </c>
    </row>
    <row r="315" spans="65:66" x14ac:dyDescent="0.3">
      <c r="BM315" t="e">
        <f t="shared" si="10"/>
        <v>#N/A</v>
      </c>
      <c r="BN315" t="b">
        <f t="shared" si="9"/>
        <v>1</v>
      </c>
    </row>
    <row r="316" spans="65:66" x14ac:dyDescent="0.3">
      <c r="BM316" t="e">
        <f t="shared" si="10"/>
        <v>#N/A</v>
      </c>
      <c r="BN316" t="b">
        <f t="shared" si="9"/>
        <v>1</v>
      </c>
    </row>
    <row r="317" spans="65:66" x14ac:dyDescent="0.3">
      <c r="BM317" t="e">
        <f t="shared" si="10"/>
        <v>#N/A</v>
      </c>
      <c r="BN317" t="b">
        <f t="shared" si="9"/>
        <v>1</v>
      </c>
    </row>
    <row r="318" spans="65:66" x14ac:dyDescent="0.3">
      <c r="BM318" t="e">
        <f t="shared" si="10"/>
        <v>#N/A</v>
      </c>
      <c r="BN318" t="b">
        <f t="shared" si="9"/>
        <v>1</v>
      </c>
    </row>
    <row r="319" spans="65:66" x14ac:dyDescent="0.3">
      <c r="BM319" t="e">
        <f t="shared" si="10"/>
        <v>#N/A</v>
      </c>
      <c r="BN319" t="b">
        <f t="shared" si="9"/>
        <v>1</v>
      </c>
    </row>
    <row r="320" spans="65:66" x14ac:dyDescent="0.3">
      <c r="BM320" t="e">
        <f t="shared" si="10"/>
        <v>#N/A</v>
      </c>
      <c r="BN320" t="b">
        <f t="shared" si="9"/>
        <v>1</v>
      </c>
    </row>
    <row r="321" spans="65:66" x14ac:dyDescent="0.3">
      <c r="BM321" t="e">
        <f t="shared" si="10"/>
        <v>#N/A</v>
      </c>
      <c r="BN321" t="b">
        <f t="shared" si="9"/>
        <v>1</v>
      </c>
    </row>
    <row r="322" spans="65:66" x14ac:dyDescent="0.3">
      <c r="BM322" t="e">
        <f t="shared" si="10"/>
        <v>#N/A</v>
      </c>
      <c r="BN322" t="b">
        <f t="shared" si="9"/>
        <v>1</v>
      </c>
    </row>
    <row r="323" spans="65:66" x14ac:dyDescent="0.3">
      <c r="BM323" t="e">
        <f t="shared" si="10"/>
        <v>#N/A</v>
      </c>
      <c r="BN323" t="b">
        <f t="shared" ref="BN323:BN386" si="11">IF(OR(ISNA(BM323)=FALSE,ISNA(BM324)=FALSE),FALSE,TRUE)</f>
        <v>1</v>
      </c>
    </row>
    <row r="324" spans="65:66" x14ac:dyDescent="0.3">
      <c r="BM324" t="e">
        <f t="shared" si="10"/>
        <v>#N/A</v>
      </c>
      <c r="BN324" t="b">
        <f t="shared" si="11"/>
        <v>1</v>
      </c>
    </row>
    <row r="325" spans="65:66" x14ac:dyDescent="0.3">
      <c r="BM325" t="e">
        <f t="shared" si="10"/>
        <v>#N/A</v>
      </c>
      <c r="BN325" t="b">
        <f t="shared" si="11"/>
        <v>1</v>
      </c>
    </row>
    <row r="326" spans="65:66" x14ac:dyDescent="0.3">
      <c r="BM326" t="e">
        <f t="shared" ref="BM326:BM389" si="12">IF(OR(BL325="✔",BL326="✔"),#N/A,VLOOKUP(B325&amp;"*",B326,1,FALSE))</f>
        <v>#N/A</v>
      </c>
      <c r="BN326" t="b">
        <f t="shared" si="11"/>
        <v>1</v>
      </c>
    </row>
    <row r="327" spans="65:66" x14ac:dyDescent="0.3">
      <c r="BM327" t="e">
        <f t="shared" si="12"/>
        <v>#N/A</v>
      </c>
      <c r="BN327" t="b">
        <f t="shared" si="11"/>
        <v>1</v>
      </c>
    </row>
    <row r="328" spans="65:66" x14ac:dyDescent="0.3">
      <c r="BM328" t="e">
        <f t="shared" si="12"/>
        <v>#N/A</v>
      </c>
      <c r="BN328" t="b">
        <f t="shared" si="11"/>
        <v>1</v>
      </c>
    </row>
    <row r="329" spans="65:66" x14ac:dyDescent="0.3">
      <c r="BM329" t="e">
        <f t="shared" si="12"/>
        <v>#N/A</v>
      </c>
      <c r="BN329" t="b">
        <f t="shared" si="11"/>
        <v>1</v>
      </c>
    </row>
    <row r="330" spans="65:66" x14ac:dyDescent="0.3">
      <c r="BM330" t="e">
        <f t="shared" si="12"/>
        <v>#N/A</v>
      </c>
      <c r="BN330" t="b">
        <f t="shared" si="11"/>
        <v>1</v>
      </c>
    </row>
    <row r="331" spans="65:66" x14ac:dyDescent="0.3">
      <c r="BM331" t="e">
        <f t="shared" si="12"/>
        <v>#N/A</v>
      </c>
      <c r="BN331" t="b">
        <f t="shared" si="11"/>
        <v>1</v>
      </c>
    </row>
    <row r="332" spans="65:66" x14ac:dyDescent="0.3">
      <c r="BM332" t="e">
        <f t="shared" si="12"/>
        <v>#N/A</v>
      </c>
      <c r="BN332" t="b">
        <f t="shared" si="11"/>
        <v>1</v>
      </c>
    </row>
    <row r="333" spans="65:66" x14ac:dyDescent="0.3">
      <c r="BM333" t="e">
        <f t="shared" si="12"/>
        <v>#N/A</v>
      </c>
      <c r="BN333" t="b">
        <f t="shared" si="11"/>
        <v>1</v>
      </c>
    </row>
    <row r="334" spans="65:66" x14ac:dyDescent="0.3">
      <c r="BM334" t="e">
        <f t="shared" si="12"/>
        <v>#N/A</v>
      </c>
      <c r="BN334" t="b">
        <f t="shared" si="11"/>
        <v>1</v>
      </c>
    </row>
    <row r="335" spans="65:66" x14ac:dyDescent="0.3">
      <c r="BM335" t="e">
        <f t="shared" si="12"/>
        <v>#N/A</v>
      </c>
      <c r="BN335" t="b">
        <f t="shared" si="11"/>
        <v>1</v>
      </c>
    </row>
    <row r="336" spans="65:66" x14ac:dyDescent="0.3">
      <c r="BM336" t="e">
        <f t="shared" si="12"/>
        <v>#N/A</v>
      </c>
      <c r="BN336" t="b">
        <f t="shared" si="11"/>
        <v>1</v>
      </c>
    </row>
    <row r="337" spans="65:66" x14ac:dyDescent="0.3">
      <c r="BM337" t="e">
        <f t="shared" si="12"/>
        <v>#N/A</v>
      </c>
      <c r="BN337" t="b">
        <f t="shared" si="11"/>
        <v>1</v>
      </c>
    </row>
    <row r="338" spans="65:66" x14ac:dyDescent="0.3">
      <c r="BM338" t="e">
        <f t="shared" si="12"/>
        <v>#N/A</v>
      </c>
      <c r="BN338" t="b">
        <f t="shared" si="11"/>
        <v>1</v>
      </c>
    </row>
    <row r="339" spans="65:66" x14ac:dyDescent="0.3">
      <c r="BM339" t="e">
        <f t="shared" si="12"/>
        <v>#N/A</v>
      </c>
      <c r="BN339" t="b">
        <f t="shared" si="11"/>
        <v>1</v>
      </c>
    </row>
    <row r="340" spans="65:66" x14ac:dyDescent="0.3">
      <c r="BM340" t="e">
        <f t="shared" si="12"/>
        <v>#N/A</v>
      </c>
      <c r="BN340" t="b">
        <f t="shared" si="11"/>
        <v>1</v>
      </c>
    </row>
    <row r="341" spans="65:66" x14ac:dyDescent="0.3">
      <c r="BM341" t="e">
        <f t="shared" si="12"/>
        <v>#N/A</v>
      </c>
      <c r="BN341" t="b">
        <f t="shared" si="11"/>
        <v>1</v>
      </c>
    </row>
    <row r="342" spans="65:66" x14ac:dyDescent="0.3">
      <c r="BM342" t="e">
        <f t="shared" si="12"/>
        <v>#N/A</v>
      </c>
      <c r="BN342" t="b">
        <f t="shared" si="11"/>
        <v>1</v>
      </c>
    </row>
    <row r="343" spans="65:66" x14ac:dyDescent="0.3">
      <c r="BM343" t="e">
        <f t="shared" si="12"/>
        <v>#N/A</v>
      </c>
      <c r="BN343" t="b">
        <f t="shared" si="11"/>
        <v>1</v>
      </c>
    </row>
    <row r="344" spans="65:66" x14ac:dyDescent="0.3">
      <c r="BM344" t="e">
        <f t="shared" si="12"/>
        <v>#N/A</v>
      </c>
      <c r="BN344" t="b">
        <f t="shared" si="11"/>
        <v>1</v>
      </c>
    </row>
    <row r="345" spans="65:66" x14ac:dyDescent="0.3">
      <c r="BM345" t="e">
        <f t="shared" si="12"/>
        <v>#N/A</v>
      </c>
      <c r="BN345" t="b">
        <f t="shared" si="11"/>
        <v>1</v>
      </c>
    </row>
    <row r="346" spans="65:66" x14ac:dyDescent="0.3">
      <c r="BM346" t="e">
        <f t="shared" si="12"/>
        <v>#N/A</v>
      </c>
      <c r="BN346" t="b">
        <f t="shared" si="11"/>
        <v>1</v>
      </c>
    </row>
    <row r="347" spans="65:66" x14ac:dyDescent="0.3">
      <c r="BM347" t="e">
        <f t="shared" si="12"/>
        <v>#N/A</v>
      </c>
      <c r="BN347" t="b">
        <f t="shared" si="11"/>
        <v>1</v>
      </c>
    </row>
    <row r="348" spans="65:66" x14ac:dyDescent="0.3">
      <c r="BM348" t="e">
        <f t="shared" si="12"/>
        <v>#N/A</v>
      </c>
      <c r="BN348" t="b">
        <f t="shared" si="11"/>
        <v>1</v>
      </c>
    </row>
    <row r="349" spans="65:66" x14ac:dyDescent="0.3">
      <c r="BM349" t="e">
        <f t="shared" si="12"/>
        <v>#N/A</v>
      </c>
      <c r="BN349" t="b">
        <f t="shared" si="11"/>
        <v>1</v>
      </c>
    </row>
    <row r="350" spans="65:66" x14ac:dyDescent="0.3">
      <c r="BM350" t="e">
        <f t="shared" si="12"/>
        <v>#N/A</v>
      </c>
      <c r="BN350" t="b">
        <f t="shared" si="11"/>
        <v>1</v>
      </c>
    </row>
    <row r="351" spans="65:66" x14ac:dyDescent="0.3">
      <c r="BM351" t="e">
        <f t="shared" si="12"/>
        <v>#N/A</v>
      </c>
      <c r="BN351" t="b">
        <f t="shared" si="11"/>
        <v>1</v>
      </c>
    </row>
    <row r="352" spans="65:66" x14ac:dyDescent="0.3">
      <c r="BM352" t="e">
        <f t="shared" si="12"/>
        <v>#N/A</v>
      </c>
      <c r="BN352" t="b">
        <f t="shared" si="11"/>
        <v>1</v>
      </c>
    </row>
    <row r="353" spans="65:66" x14ac:dyDescent="0.3">
      <c r="BM353" t="e">
        <f t="shared" si="12"/>
        <v>#N/A</v>
      </c>
      <c r="BN353" t="b">
        <f t="shared" si="11"/>
        <v>1</v>
      </c>
    </row>
    <row r="354" spans="65:66" x14ac:dyDescent="0.3">
      <c r="BM354" t="e">
        <f t="shared" si="12"/>
        <v>#N/A</v>
      </c>
      <c r="BN354" t="b">
        <f t="shared" si="11"/>
        <v>1</v>
      </c>
    </row>
    <row r="355" spans="65:66" x14ac:dyDescent="0.3">
      <c r="BM355" t="e">
        <f t="shared" si="12"/>
        <v>#N/A</v>
      </c>
      <c r="BN355" t="b">
        <f t="shared" si="11"/>
        <v>1</v>
      </c>
    </row>
    <row r="356" spans="65:66" x14ac:dyDescent="0.3">
      <c r="BM356" t="e">
        <f t="shared" si="12"/>
        <v>#N/A</v>
      </c>
      <c r="BN356" t="b">
        <f t="shared" si="11"/>
        <v>1</v>
      </c>
    </row>
    <row r="357" spans="65:66" x14ac:dyDescent="0.3">
      <c r="BM357" t="e">
        <f t="shared" si="12"/>
        <v>#N/A</v>
      </c>
      <c r="BN357" t="b">
        <f t="shared" si="11"/>
        <v>1</v>
      </c>
    </row>
    <row r="358" spans="65:66" x14ac:dyDescent="0.3">
      <c r="BM358" t="e">
        <f t="shared" si="12"/>
        <v>#N/A</v>
      </c>
      <c r="BN358" t="b">
        <f t="shared" si="11"/>
        <v>1</v>
      </c>
    </row>
    <row r="359" spans="65:66" x14ac:dyDescent="0.3">
      <c r="BM359" t="e">
        <f t="shared" si="12"/>
        <v>#N/A</v>
      </c>
      <c r="BN359" t="b">
        <f t="shared" si="11"/>
        <v>1</v>
      </c>
    </row>
    <row r="360" spans="65:66" x14ac:dyDescent="0.3">
      <c r="BM360" t="e">
        <f t="shared" si="12"/>
        <v>#N/A</v>
      </c>
      <c r="BN360" t="b">
        <f t="shared" si="11"/>
        <v>1</v>
      </c>
    </row>
    <row r="361" spans="65:66" x14ac:dyDescent="0.3">
      <c r="BM361" t="e">
        <f t="shared" si="12"/>
        <v>#N/A</v>
      </c>
      <c r="BN361" t="b">
        <f t="shared" si="11"/>
        <v>1</v>
      </c>
    </row>
    <row r="362" spans="65:66" x14ac:dyDescent="0.3">
      <c r="BM362" t="e">
        <f t="shared" si="12"/>
        <v>#N/A</v>
      </c>
      <c r="BN362" t="b">
        <f t="shared" si="11"/>
        <v>1</v>
      </c>
    </row>
    <row r="363" spans="65:66" x14ac:dyDescent="0.3">
      <c r="BM363" t="e">
        <f t="shared" si="12"/>
        <v>#N/A</v>
      </c>
      <c r="BN363" t="b">
        <f t="shared" si="11"/>
        <v>1</v>
      </c>
    </row>
    <row r="364" spans="65:66" x14ac:dyDescent="0.3">
      <c r="BM364" t="e">
        <f t="shared" si="12"/>
        <v>#N/A</v>
      </c>
      <c r="BN364" t="b">
        <f t="shared" si="11"/>
        <v>1</v>
      </c>
    </row>
    <row r="365" spans="65:66" x14ac:dyDescent="0.3">
      <c r="BM365" t="e">
        <f t="shared" si="12"/>
        <v>#N/A</v>
      </c>
      <c r="BN365" t="b">
        <f t="shared" si="11"/>
        <v>1</v>
      </c>
    </row>
    <row r="366" spans="65:66" x14ac:dyDescent="0.3">
      <c r="BM366" t="e">
        <f t="shared" si="12"/>
        <v>#N/A</v>
      </c>
      <c r="BN366" t="b">
        <f t="shared" si="11"/>
        <v>1</v>
      </c>
    </row>
    <row r="367" spans="65:66" x14ac:dyDescent="0.3">
      <c r="BM367" t="e">
        <f t="shared" si="12"/>
        <v>#N/A</v>
      </c>
      <c r="BN367" t="b">
        <f t="shared" si="11"/>
        <v>1</v>
      </c>
    </row>
    <row r="368" spans="65:66" x14ac:dyDescent="0.3">
      <c r="BM368" t="e">
        <f t="shared" si="12"/>
        <v>#N/A</v>
      </c>
      <c r="BN368" t="b">
        <f t="shared" si="11"/>
        <v>1</v>
      </c>
    </row>
    <row r="369" spans="65:66" x14ac:dyDescent="0.3">
      <c r="BM369" t="e">
        <f t="shared" si="12"/>
        <v>#N/A</v>
      </c>
      <c r="BN369" t="b">
        <f t="shared" si="11"/>
        <v>1</v>
      </c>
    </row>
    <row r="370" spans="65:66" x14ac:dyDescent="0.3">
      <c r="BM370" t="e">
        <f t="shared" si="12"/>
        <v>#N/A</v>
      </c>
      <c r="BN370" t="b">
        <f t="shared" si="11"/>
        <v>1</v>
      </c>
    </row>
    <row r="371" spans="65:66" x14ac:dyDescent="0.3">
      <c r="BM371" t="e">
        <f t="shared" si="12"/>
        <v>#N/A</v>
      </c>
      <c r="BN371" t="b">
        <f t="shared" si="11"/>
        <v>1</v>
      </c>
    </row>
    <row r="372" spans="65:66" x14ac:dyDescent="0.3">
      <c r="BM372" t="e">
        <f t="shared" si="12"/>
        <v>#N/A</v>
      </c>
      <c r="BN372" t="b">
        <f t="shared" si="11"/>
        <v>1</v>
      </c>
    </row>
    <row r="373" spans="65:66" x14ac:dyDescent="0.3">
      <c r="BM373" t="e">
        <f t="shared" si="12"/>
        <v>#N/A</v>
      </c>
      <c r="BN373" t="b">
        <f t="shared" si="11"/>
        <v>1</v>
      </c>
    </row>
    <row r="374" spans="65:66" x14ac:dyDescent="0.3">
      <c r="BM374" t="e">
        <f t="shared" si="12"/>
        <v>#N/A</v>
      </c>
      <c r="BN374" t="b">
        <f t="shared" si="11"/>
        <v>1</v>
      </c>
    </row>
    <row r="375" spans="65:66" x14ac:dyDescent="0.3">
      <c r="BM375" t="e">
        <f t="shared" si="12"/>
        <v>#N/A</v>
      </c>
      <c r="BN375" t="b">
        <f t="shared" si="11"/>
        <v>1</v>
      </c>
    </row>
    <row r="376" spans="65:66" x14ac:dyDescent="0.3">
      <c r="BM376" t="e">
        <f t="shared" si="12"/>
        <v>#N/A</v>
      </c>
      <c r="BN376" t="b">
        <f t="shared" si="11"/>
        <v>1</v>
      </c>
    </row>
    <row r="377" spans="65:66" x14ac:dyDescent="0.3">
      <c r="BM377" t="e">
        <f t="shared" si="12"/>
        <v>#N/A</v>
      </c>
      <c r="BN377" t="b">
        <f t="shared" si="11"/>
        <v>1</v>
      </c>
    </row>
    <row r="378" spans="65:66" x14ac:dyDescent="0.3">
      <c r="BM378" t="e">
        <f t="shared" si="12"/>
        <v>#N/A</v>
      </c>
      <c r="BN378" t="b">
        <f t="shared" si="11"/>
        <v>1</v>
      </c>
    </row>
    <row r="379" spans="65:66" x14ac:dyDescent="0.3">
      <c r="BM379" t="e">
        <f t="shared" si="12"/>
        <v>#N/A</v>
      </c>
      <c r="BN379" t="b">
        <f t="shared" si="11"/>
        <v>1</v>
      </c>
    </row>
    <row r="380" spans="65:66" x14ac:dyDescent="0.3">
      <c r="BM380" t="e">
        <f t="shared" si="12"/>
        <v>#N/A</v>
      </c>
      <c r="BN380" t="b">
        <f t="shared" si="11"/>
        <v>1</v>
      </c>
    </row>
    <row r="381" spans="65:66" x14ac:dyDescent="0.3">
      <c r="BM381" t="e">
        <f t="shared" si="12"/>
        <v>#N/A</v>
      </c>
      <c r="BN381" t="b">
        <f t="shared" si="11"/>
        <v>1</v>
      </c>
    </row>
    <row r="382" spans="65:66" x14ac:dyDescent="0.3">
      <c r="BM382" t="e">
        <f t="shared" si="12"/>
        <v>#N/A</v>
      </c>
      <c r="BN382" t="b">
        <f t="shared" si="11"/>
        <v>1</v>
      </c>
    </row>
    <row r="383" spans="65:66" x14ac:dyDescent="0.3">
      <c r="BM383" t="e">
        <f t="shared" si="12"/>
        <v>#N/A</v>
      </c>
      <c r="BN383" t="b">
        <f t="shared" si="11"/>
        <v>1</v>
      </c>
    </row>
    <row r="384" spans="65:66" x14ac:dyDescent="0.3">
      <c r="BM384" t="e">
        <f t="shared" si="12"/>
        <v>#N/A</v>
      </c>
      <c r="BN384" t="b">
        <f t="shared" si="11"/>
        <v>1</v>
      </c>
    </row>
    <row r="385" spans="65:66" x14ac:dyDescent="0.3">
      <c r="BM385" t="e">
        <f t="shared" si="12"/>
        <v>#N/A</v>
      </c>
      <c r="BN385" t="b">
        <f t="shared" si="11"/>
        <v>1</v>
      </c>
    </row>
    <row r="386" spans="65:66" x14ac:dyDescent="0.3">
      <c r="BM386" t="e">
        <f t="shared" si="12"/>
        <v>#N/A</v>
      </c>
      <c r="BN386" t="b">
        <f t="shared" si="11"/>
        <v>1</v>
      </c>
    </row>
    <row r="387" spans="65:66" x14ac:dyDescent="0.3">
      <c r="BM387" t="e">
        <f t="shared" si="12"/>
        <v>#N/A</v>
      </c>
      <c r="BN387" t="b">
        <f t="shared" ref="BN387:BN450" si="13">IF(OR(ISNA(BM387)=FALSE,ISNA(BM388)=FALSE),FALSE,TRUE)</f>
        <v>1</v>
      </c>
    </row>
    <row r="388" spans="65:66" x14ac:dyDescent="0.3">
      <c r="BM388" t="e">
        <f t="shared" si="12"/>
        <v>#N/A</v>
      </c>
      <c r="BN388" t="b">
        <f t="shared" si="13"/>
        <v>1</v>
      </c>
    </row>
    <row r="389" spans="65:66" x14ac:dyDescent="0.3">
      <c r="BM389" t="e">
        <f t="shared" si="12"/>
        <v>#N/A</v>
      </c>
      <c r="BN389" t="b">
        <f t="shared" si="13"/>
        <v>1</v>
      </c>
    </row>
    <row r="390" spans="65:66" x14ac:dyDescent="0.3">
      <c r="BM390" t="e">
        <f t="shared" ref="BM390:BM453" si="14">IF(OR(BL389="✔",BL390="✔"),#N/A,VLOOKUP(B389&amp;"*",B390,1,FALSE))</f>
        <v>#N/A</v>
      </c>
      <c r="BN390" t="b">
        <f t="shared" si="13"/>
        <v>1</v>
      </c>
    </row>
    <row r="391" spans="65:66" x14ac:dyDescent="0.3">
      <c r="BM391" t="e">
        <f t="shared" si="14"/>
        <v>#N/A</v>
      </c>
      <c r="BN391" t="b">
        <f t="shared" si="13"/>
        <v>1</v>
      </c>
    </row>
    <row r="392" spans="65:66" x14ac:dyDescent="0.3">
      <c r="BM392" t="e">
        <f t="shared" si="14"/>
        <v>#N/A</v>
      </c>
      <c r="BN392" t="b">
        <f t="shared" si="13"/>
        <v>1</v>
      </c>
    </row>
    <row r="393" spans="65:66" x14ac:dyDescent="0.3">
      <c r="BM393" t="e">
        <f t="shared" si="14"/>
        <v>#N/A</v>
      </c>
      <c r="BN393" t="b">
        <f t="shared" si="13"/>
        <v>1</v>
      </c>
    </row>
    <row r="394" spans="65:66" x14ac:dyDescent="0.3">
      <c r="BM394" t="e">
        <f t="shared" si="14"/>
        <v>#N/A</v>
      </c>
      <c r="BN394" t="b">
        <f t="shared" si="13"/>
        <v>1</v>
      </c>
    </row>
    <row r="395" spans="65:66" x14ac:dyDescent="0.3">
      <c r="BM395" t="e">
        <f t="shared" si="14"/>
        <v>#N/A</v>
      </c>
      <c r="BN395" t="b">
        <f t="shared" si="13"/>
        <v>1</v>
      </c>
    </row>
    <row r="396" spans="65:66" x14ac:dyDescent="0.3">
      <c r="BM396" t="e">
        <f t="shared" si="14"/>
        <v>#N/A</v>
      </c>
      <c r="BN396" t="b">
        <f t="shared" si="13"/>
        <v>1</v>
      </c>
    </row>
    <row r="397" spans="65:66" x14ac:dyDescent="0.3">
      <c r="BM397" t="e">
        <f t="shared" si="14"/>
        <v>#N/A</v>
      </c>
      <c r="BN397" t="b">
        <f t="shared" si="13"/>
        <v>1</v>
      </c>
    </row>
    <row r="398" spans="65:66" x14ac:dyDescent="0.3">
      <c r="BM398" t="e">
        <f t="shared" si="14"/>
        <v>#N/A</v>
      </c>
      <c r="BN398" t="b">
        <f t="shared" si="13"/>
        <v>1</v>
      </c>
    </row>
    <row r="399" spans="65:66" x14ac:dyDescent="0.3">
      <c r="BM399" t="e">
        <f t="shared" si="14"/>
        <v>#N/A</v>
      </c>
      <c r="BN399" t="b">
        <f t="shared" si="13"/>
        <v>1</v>
      </c>
    </row>
    <row r="400" spans="65:66" x14ac:dyDescent="0.3">
      <c r="BM400" t="e">
        <f t="shared" si="14"/>
        <v>#N/A</v>
      </c>
      <c r="BN400" t="b">
        <f t="shared" si="13"/>
        <v>1</v>
      </c>
    </row>
    <row r="401" spans="65:66" x14ac:dyDescent="0.3">
      <c r="BM401" t="e">
        <f t="shared" si="14"/>
        <v>#N/A</v>
      </c>
      <c r="BN401" t="b">
        <f t="shared" si="13"/>
        <v>1</v>
      </c>
    </row>
    <row r="402" spans="65:66" x14ac:dyDescent="0.3">
      <c r="BM402" t="e">
        <f t="shared" si="14"/>
        <v>#N/A</v>
      </c>
      <c r="BN402" t="b">
        <f t="shared" si="13"/>
        <v>1</v>
      </c>
    </row>
    <row r="403" spans="65:66" x14ac:dyDescent="0.3">
      <c r="BM403" t="e">
        <f t="shared" si="14"/>
        <v>#N/A</v>
      </c>
      <c r="BN403" t="b">
        <f t="shared" si="13"/>
        <v>1</v>
      </c>
    </row>
    <row r="404" spans="65:66" x14ac:dyDescent="0.3">
      <c r="BM404" t="e">
        <f t="shared" si="14"/>
        <v>#N/A</v>
      </c>
      <c r="BN404" t="b">
        <f t="shared" si="13"/>
        <v>1</v>
      </c>
    </row>
    <row r="405" spans="65:66" x14ac:dyDescent="0.3">
      <c r="BM405" t="e">
        <f t="shared" si="14"/>
        <v>#N/A</v>
      </c>
      <c r="BN405" t="b">
        <f t="shared" si="13"/>
        <v>1</v>
      </c>
    </row>
    <row r="406" spans="65:66" x14ac:dyDescent="0.3">
      <c r="BM406" t="e">
        <f t="shared" si="14"/>
        <v>#N/A</v>
      </c>
      <c r="BN406" t="b">
        <f t="shared" si="13"/>
        <v>1</v>
      </c>
    </row>
    <row r="407" spans="65:66" x14ac:dyDescent="0.3">
      <c r="BM407" t="e">
        <f t="shared" si="14"/>
        <v>#N/A</v>
      </c>
      <c r="BN407" t="b">
        <f t="shared" si="13"/>
        <v>1</v>
      </c>
    </row>
    <row r="408" spans="65:66" x14ac:dyDescent="0.3">
      <c r="BM408" t="e">
        <f t="shared" si="14"/>
        <v>#N/A</v>
      </c>
      <c r="BN408" t="b">
        <f t="shared" si="13"/>
        <v>1</v>
      </c>
    </row>
    <row r="409" spans="65:66" x14ac:dyDescent="0.3">
      <c r="BM409" t="e">
        <f t="shared" si="14"/>
        <v>#N/A</v>
      </c>
      <c r="BN409" t="b">
        <f t="shared" si="13"/>
        <v>1</v>
      </c>
    </row>
    <row r="410" spans="65:66" x14ac:dyDescent="0.3">
      <c r="BM410" t="e">
        <f t="shared" si="14"/>
        <v>#N/A</v>
      </c>
      <c r="BN410" t="b">
        <f t="shared" si="13"/>
        <v>1</v>
      </c>
    </row>
    <row r="411" spans="65:66" x14ac:dyDescent="0.3">
      <c r="BM411" t="e">
        <f t="shared" si="14"/>
        <v>#N/A</v>
      </c>
      <c r="BN411" t="b">
        <f t="shared" si="13"/>
        <v>1</v>
      </c>
    </row>
    <row r="412" spans="65:66" x14ac:dyDescent="0.3">
      <c r="BM412" t="e">
        <f t="shared" si="14"/>
        <v>#N/A</v>
      </c>
      <c r="BN412" t="b">
        <f t="shared" si="13"/>
        <v>1</v>
      </c>
    </row>
    <row r="413" spans="65:66" x14ac:dyDescent="0.3">
      <c r="BM413" t="e">
        <f t="shared" si="14"/>
        <v>#N/A</v>
      </c>
      <c r="BN413" t="b">
        <f t="shared" si="13"/>
        <v>1</v>
      </c>
    </row>
    <row r="414" spans="65:66" x14ac:dyDescent="0.3">
      <c r="BM414" t="e">
        <f t="shared" si="14"/>
        <v>#N/A</v>
      </c>
      <c r="BN414" t="b">
        <f t="shared" si="13"/>
        <v>1</v>
      </c>
    </row>
    <row r="415" spans="65:66" x14ac:dyDescent="0.3">
      <c r="BM415" t="e">
        <f t="shared" si="14"/>
        <v>#N/A</v>
      </c>
      <c r="BN415" t="b">
        <f t="shared" si="13"/>
        <v>1</v>
      </c>
    </row>
    <row r="416" spans="65:66" x14ac:dyDescent="0.3">
      <c r="BM416" t="e">
        <f t="shared" si="14"/>
        <v>#N/A</v>
      </c>
      <c r="BN416" t="b">
        <f t="shared" si="13"/>
        <v>1</v>
      </c>
    </row>
    <row r="417" spans="65:66" x14ac:dyDescent="0.3">
      <c r="BM417" t="e">
        <f t="shared" si="14"/>
        <v>#N/A</v>
      </c>
      <c r="BN417" t="b">
        <f t="shared" si="13"/>
        <v>1</v>
      </c>
    </row>
    <row r="418" spans="65:66" x14ac:dyDescent="0.3">
      <c r="BM418" t="e">
        <f t="shared" si="14"/>
        <v>#N/A</v>
      </c>
      <c r="BN418" t="b">
        <f t="shared" si="13"/>
        <v>1</v>
      </c>
    </row>
    <row r="419" spans="65:66" x14ac:dyDescent="0.3">
      <c r="BM419" t="e">
        <f t="shared" si="14"/>
        <v>#N/A</v>
      </c>
      <c r="BN419" t="b">
        <f t="shared" si="13"/>
        <v>1</v>
      </c>
    </row>
    <row r="420" spans="65:66" x14ac:dyDescent="0.3">
      <c r="BM420" t="e">
        <f t="shared" si="14"/>
        <v>#N/A</v>
      </c>
      <c r="BN420" t="b">
        <f t="shared" si="13"/>
        <v>1</v>
      </c>
    </row>
    <row r="421" spans="65:66" x14ac:dyDescent="0.3">
      <c r="BM421" t="e">
        <f t="shared" si="14"/>
        <v>#N/A</v>
      </c>
      <c r="BN421" t="b">
        <f t="shared" si="13"/>
        <v>1</v>
      </c>
    </row>
    <row r="422" spans="65:66" x14ac:dyDescent="0.3">
      <c r="BM422" t="e">
        <f t="shared" si="14"/>
        <v>#N/A</v>
      </c>
      <c r="BN422" t="b">
        <f t="shared" si="13"/>
        <v>1</v>
      </c>
    </row>
    <row r="423" spans="65:66" x14ac:dyDescent="0.3">
      <c r="BM423" t="e">
        <f t="shared" si="14"/>
        <v>#N/A</v>
      </c>
      <c r="BN423" t="b">
        <f t="shared" si="13"/>
        <v>1</v>
      </c>
    </row>
    <row r="424" spans="65:66" x14ac:dyDescent="0.3">
      <c r="BM424" t="e">
        <f t="shared" si="14"/>
        <v>#N/A</v>
      </c>
      <c r="BN424" t="b">
        <f t="shared" si="13"/>
        <v>1</v>
      </c>
    </row>
    <row r="425" spans="65:66" x14ac:dyDescent="0.3">
      <c r="BM425" t="e">
        <f t="shared" si="14"/>
        <v>#N/A</v>
      </c>
      <c r="BN425" t="b">
        <f t="shared" si="13"/>
        <v>1</v>
      </c>
    </row>
    <row r="426" spans="65:66" x14ac:dyDescent="0.3">
      <c r="BM426" t="e">
        <f t="shared" si="14"/>
        <v>#N/A</v>
      </c>
      <c r="BN426" t="b">
        <f t="shared" si="13"/>
        <v>1</v>
      </c>
    </row>
    <row r="427" spans="65:66" x14ac:dyDescent="0.3">
      <c r="BM427" t="e">
        <f t="shared" si="14"/>
        <v>#N/A</v>
      </c>
      <c r="BN427" t="b">
        <f t="shared" si="13"/>
        <v>1</v>
      </c>
    </row>
    <row r="428" spans="65:66" x14ac:dyDescent="0.3">
      <c r="BM428" t="e">
        <f t="shared" si="14"/>
        <v>#N/A</v>
      </c>
      <c r="BN428" t="b">
        <f t="shared" si="13"/>
        <v>1</v>
      </c>
    </row>
    <row r="429" spans="65:66" x14ac:dyDescent="0.3">
      <c r="BM429" t="e">
        <f t="shared" si="14"/>
        <v>#N/A</v>
      </c>
      <c r="BN429" t="b">
        <f t="shared" si="13"/>
        <v>1</v>
      </c>
    </row>
    <row r="430" spans="65:66" x14ac:dyDescent="0.3">
      <c r="BM430" t="e">
        <f t="shared" si="14"/>
        <v>#N/A</v>
      </c>
      <c r="BN430" t="b">
        <f t="shared" si="13"/>
        <v>1</v>
      </c>
    </row>
    <row r="431" spans="65:66" x14ac:dyDescent="0.3">
      <c r="BM431" t="e">
        <f t="shared" si="14"/>
        <v>#N/A</v>
      </c>
      <c r="BN431" t="b">
        <f t="shared" si="13"/>
        <v>1</v>
      </c>
    </row>
    <row r="432" spans="65:66" x14ac:dyDescent="0.3">
      <c r="BM432" t="e">
        <f t="shared" si="14"/>
        <v>#N/A</v>
      </c>
      <c r="BN432" t="b">
        <f t="shared" si="13"/>
        <v>1</v>
      </c>
    </row>
    <row r="433" spans="65:66" x14ac:dyDescent="0.3">
      <c r="BM433" t="e">
        <f t="shared" si="14"/>
        <v>#N/A</v>
      </c>
      <c r="BN433" t="b">
        <f t="shared" si="13"/>
        <v>1</v>
      </c>
    </row>
    <row r="434" spans="65:66" x14ac:dyDescent="0.3">
      <c r="BM434" t="e">
        <f t="shared" si="14"/>
        <v>#N/A</v>
      </c>
      <c r="BN434" t="b">
        <f t="shared" si="13"/>
        <v>1</v>
      </c>
    </row>
    <row r="435" spans="65:66" x14ac:dyDescent="0.3">
      <c r="BM435" t="e">
        <f t="shared" si="14"/>
        <v>#N/A</v>
      </c>
      <c r="BN435" t="b">
        <f t="shared" si="13"/>
        <v>1</v>
      </c>
    </row>
    <row r="436" spans="65:66" x14ac:dyDescent="0.3">
      <c r="BM436" t="e">
        <f t="shared" si="14"/>
        <v>#N/A</v>
      </c>
      <c r="BN436" t="b">
        <f t="shared" si="13"/>
        <v>1</v>
      </c>
    </row>
    <row r="437" spans="65:66" x14ac:dyDescent="0.3">
      <c r="BM437" t="e">
        <f t="shared" si="14"/>
        <v>#N/A</v>
      </c>
      <c r="BN437" t="b">
        <f t="shared" si="13"/>
        <v>1</v>
      </c>
    </row>
    <row r="438" spans="65:66" x14ac:dyDescent="0.3">
      <c r="BM438" t="e">
        <f t="shared" si="14"/>
        <v>#N/A</v>
      </c>
      <c r="BN438" t="b">
        <f t="shared" si="13"/>
        <v>1</v>
      </c>
    </row>
    <row r="439" spans="65:66" x14ac:dyDescent="0.3">
      <c r="BM439" t="e">
        <f t="shared" si="14"/>
        <v>#N/A</v>
      </c>
      <c r="BN439" t="b">
        <f t="shared" si="13"/>
        <v>1</v>
      </c>
    </row>
    <row r="440" spans="65:66" x14ac:dyDescent="0.3">
      <c r="BM440" t="e">
        <f t="shared" si="14"/>
        <v>#N/A</v>
      </c>
      <c r="BN440" t="b">
        <f t="shared" si="13"/>
        <v>1</v>
      </c>
    </row>
    <row r="441" spans="65:66" x14ac:dyDescent="0.3">
      <c r="BM441" t="e">
        <f t="shared" si="14"/>
        <v>#N/A</v>
      </c>
      <c r="BN441" t="b">
        <f t="shared" si="13"/>
        <v>1</v>
      </c>
    </row>
    <row r="442" spans="65:66" x14ac:dyDescent="0.3">
      <c r="BM442" t="e">
        <f t="shared" si="14"/>
        <v>#N/A</v>
      </c>
      <c r="BN442" t="b">
        <f t="shared" si="13"/>
        <v>1</v>
      </c>
    </row>
    <row r="443" spans="65:66" x14ac:dyDescent="0.3">
      <c r="BM443" t="e">
        <f t="shared" si="14"/>
        <v>#N/A</v>
      </c>
      <c r="BN443" t="b">
        <f t="shared" si="13"/>
        <v>1</v>
      </c>
    </row>
    <row r="444" spans="65:66" x14ac:dyDescent="0.3">
      <c r="BM444" t="e">
        <f t="shared" si="14"/>
        <v>#N/A</v>
      </c>
      <c r="BN444" t="b">
        <f t="shared" si="13"/>
        <v>1</v>
      </c>
    </row>
    <row r="445" spans="65:66" x14ac:dyDescent="0.3">
      <c r="BM445" t="e">
        <f t="shared" si="14"/>
        <v>#N/A</v>
      </c>
      <c r="BN445" t="b">
        <f t="shared" si="13"/>
        <v>1</v>
      </c>
    </row>
    <row r="446" spans="65:66" x14ac:dyDescent="0.3">
      <c r="BM446" t="e">
        <f t="shared" si="14"/>
        <v>#N/A</v>
      </c>
      <c r="BN446" t="b">
        <f t="shared" si="13"/>
        <v>1</v>
      </c>
    </row>
    <row r="447" spans="65:66" x14ac:dyDescent="0.3">
      <c r="BM447" t="e">
        <f t="shared" si="14"/>
        <v>#N/A</v>
      </c>
      <c r="BN447" t="b">
        <f t="shared" si="13"/>
        <v>1</v>
      </c>
    </row>
    <row r="448" spans="65:66" x14ac:dyDescent="0.3">
      <c r="BM448" t="e">
        <f t="shared" si="14"/>
        <v>#N/A</v>
      </c>
      <c r="BN448" t="b">
        <f t="shared" si="13"/>
        <v>1</v>
      </c>
    </row>
    <row r="449" spans="65:66" x14ac:dyDescent="0.3">
      <c r="BM449" t="e">
        <f t="shared" si="14"/>
        <v>#N/A</v>
      </c>
      <c r="BN449" t="b">
        <f t="shared" si="13"/>
        <v>1</v>
      </c>
    </row>
    <row r="450" spans="65:66" x14ac:dyDescent="0.3">
      <c r="BM450" t="e">
        <f t="shared" si="14"/>
        <v>#N/A</v>
      </c>
      <c r="BN450" t="b">
        <f t="shared" si="13"/>
        <v>1</v>
      </c>
    </row>
    <row r="451" spans="65:66" x14ac:dyDescent="0.3">
      <c r="BM451" t="e">
        <f t="shared" si="14"/>
        <v>#N/A</v>
      </c>
      <c r="BN451" t="b">
        <f t="shared" ref="BN451:BN514" si="15">IF(OR(ISNA(BM451)=FALSE,ISNA(BM452)=FALSE),FALSE,TRUE)</f>
        <v>1</v>
      </c>
    </row>
    <row r="452" spans="65:66" x14ac:dyDescent="0.3">
      <c r="BM452" t="e">
        <f t="shared" si="14"/>
        <v>#N/A</v>
      </c>
      <c r="BN452" t="b">
        <f t="shared" si="15"/>
        <v>1</v>
      </c>
    </row>
    <row r="453" spans="65:66" x14ac:dyDescent="0.3">
      <c r="BM453" t="e">
        <f t="shared" si="14"/>
        <v>#N/A</v>
      </c>
      <c r="BN453" t="b">
        <f t="shared" si="15"/>
        <v>1</v>
      </c>
    </row>
    <row r="454" spans="65:66" x14ac:dyDescent="0.3">
      <c r="BM454" t="e">
        <f t="shared" ref="BM454:BM517" si="16">IF(OR(BL453="✔",BL454="✔"),#N/A,VLOOKUP(B453&amp;"*",B454,1,FALSE))</f>
        <v>#N/A</v>
      </c>
      <c r="BN454" t="b">
        <f t="shared" si="15"/>
        <v>1</v>
      </c>
    </row>
    <row r="455" spans="65:66" x14ac:dyDescent="0.3">
      <c r="BM455" t="e">
        <f t="shared" si="16"/>
        <v>#N/A</v>
      </c>
      <c r="BN455" t="b">
        <f t="shared" si="15"/>
        <v>1</v>
      </c>
    </row>
    <row r="456" spans="65:66" x14ac:dyDescent="0.3">
      <c r="BM456" t="e">
        <f t="shared" si="16"/>
        <v>#N/A</v>
      </c>
      <c r="BN456" t="b">
        <f t="shared" si="15"/>
        <v>1</v>
      </c>
    </row>
    <row r="457" spans="65:66" x14ac:dyDescent="0.3">
      <c r="BM457" t="e">
        <f t="shared" si="16"/>
        <v>#N/A</v>
      </c>
      <c r="BN457" t="b">
        <f t="shared" si="15"/>
        <v>1</v>
      </c>
    </row>
    <row r="458" spans="65:66" x14ac:dyDescent="0.3">
      <c r="BM458" t="e">
        <f t="shared" si="16"/>
        <v>#N/A</v>
      </c>
      <c r="BN458" t="b">
        <f t="shared" si="15"/>
        <v>1</v>
      </c>
    </row>
    <row r="459" spans="65:66" x14ac:dyDescent="0.3">
      <c r="BM459" t="e">
        <f t="shared" si="16"/>
        <v>#N/A</v>
      </c>
      <c r="BN459" t="b">
        <f t="shared" si="15"/>
        <v>1</v>
      </c>
    </row>
    <row r="460" spans="65:66" x14ac:dyDescent="0.3">
      <c r="BM460" t="e">
        <f t="shared" si="16"/>
        <v>#N/A</v>
      </c>
      <c r="BN460" t="b">
        <f t="shared" si="15"/>
        <v>1</v>
      </c>
    </row>
    <row r="461" spans="65:66" x14ac:dyDescent="0.3">
      <c r="BM461" t="e">
        <f t="shared" si="16"/>
        <v>#N/A</v>
      </c>
      <c r="BN461" t="b">
        <f t="shared" si="15"/>
        <v>1</v>
      </c>
    </row>
    <row r="462" spans="65:66" x14ac:dyDescent="0.3">
      <c r="BM462" t="e">
        <f t="shared" si="16"/>
        <v>#N/A</v>
      </c>
      <c r="BN462" t="b">
        <f t="shared" si="15"/>
        <v>1</v>
      </c>
    </row>
    <row r="463" spans="65:66" x14ac:dyDescent="0.3">
      <c r="BM463" t="e">
        <f t="shared" si="16"/>
        <v>#N/A</v>
      </c>
      <c r="BN463" t="b">
        <f t="shared" si="15"/>
        <v>1</v>
      </c>
    </row>
    <row r="464" spans="65:66" x14ac:dyDescent="0.3">
      <c r="BM464" t="e">
        <f t="shared" si="16"/>
        <v>#N/A</v>
      </c>
      <c r="BN464" t="b">
        <f t="shared" si="15"/>
        <v>1</v>
      </c>
    </row>
    <row r="465" spans="65:66" x14ac:dyDescent="0.3">
      <c r="BM465" t="e">
        <f t="shared" si="16"/>
        <v>#N/A</v>
      </c>
      <c r="BN465" t="b">
        <f t="shared" si="15"/>
        <v>1</v>
      </c>
    </row>
    <row r="466" spans="65:66" x14ac:dyDescent="0.3">
      <c r="BM466" t="e">
        <f t="shared" si="16"/>
        <v>#N/A</v>
      </c>
      <c r="BN466" t="b">
        <f t="shared" si="15"/>
        <v>1</v>
      </c>
    </row>
    <row r="467" spans="65:66" x14ac:dyDescent="0.3">
      <c r="BM467" t="e">
        <f t="shared" si="16"/>
        <v>#N/A</v>
      </c>
      <c r="BN467" t="b">
        <f t="shared" si="15"/>
        <v>1</v>
      </c>
    </row>
    <row r="468" spans="65:66" x14ac:dyDescent="0.3">
      <c r="BM468" t="e">
        <f t="shared" si="16"/>
        <v>#N/A</v>
      </c>
      <c r="BN468" t="b">
        <f t="shared" si="15"/>
        <v>1</v>
      </c>
    </row>
    <row r="469" spans="65:66" x14ac:dyDescent="0.3">
      <c r="BM469" t="e">
        <f t="shared" si="16"/>
        <v>#N/A</v>
      </c>
      <c r="BN469" t="b">
        <f t="shared" si="15"/>
        <v>1</v>
      </c>
    </row>
    <row r="470" spans="65:66" x14ac:dyDescent="0.3">
      <c r="BM470" t="e">
        <f t="shared" si="16"/>
        <v>#N/A</v>
      </c>
      <c r="BN470" t="b">
        <f t="shared" si="15"/>
        <v>1</v>
      </c>
    </row>
    <row r="471" spans="65:66" x14ac:dyDescent="0.3">
      <c r="BM471" t="e">
        <f t="shared" si="16"/>
        <v>#N/A</v>
      </c>
      <c r="BN471" t="b">
        <f t="shared" si="15"/>
        <v>1</v>
      </c>
    </row>
    <row r="472" spans="65:66" x14ac:dyDescent="0.3">
      <c r="BM472" t="e">
        <f t="shared" si="16"/>
        <v>#N/A</v>
      </c>
      <c r="BN472" t="b">
        <f t="shared" si="15"/>
        <v>1</v>
      </c>
    </row>
    <row r="473" spans="65:66" x14ac:dyDescent="0.3">
      <c r="BM473" t="e">
        <f t="shared" si="16"/>
        <v>#N/A</v>
      </c>
      <c r="BN473" t="b">
        <f t="shared" si="15"/>
        <v>1</v>
      </c>
    </row>
    <row r="474" spans="65:66" x14ac:dyDescent="0.3">
      <c r="BM474" t="e">
        <f t="shared" si="16"/>
        <v>#N/A</v>
      </c>
      <c r="BN474" t="b">
        <f t="shared" si="15"/>
        <v>1</v>
      </c>
    </row>
    <row r="475" spans="65:66" x14ac:dyDescent="0.3">
      <c r="BM475" t="e">
        <f t="shared" si="16"/>
        <v>#N/A</v>
      </c>
      <c r="BN475" t="b">
        <f t="shared" si="15"/>
        <v>1</v>
      </c>
    </row>
    <row r="476" spans="65:66" x14ac:dyDescent="0.3">
      <c r="BM476" t="e">
        <f t="shared" si="16"/>
        <v>#N/A</v>
      </c>
      <c r="BN476" t="b">
        <f t="shared" si="15"/>
        <v>1</v>
      </c>
    </row>
    <row r="477" spans="65:66" x14ac:dyDescent="0.3">
      <c r="BM477" t="e">
        <f t="shared" si="16"/>
        <v>#N/A</v>
      </c>
      <c r="BN477" t="b">
        <f t="shared" si="15"/>
        <v>1</v>
      </c>
    </row>
    <row r="478" spans="65:66" x14ac:dyDescent="0.3">
      <c r="BM478" t="e">
        <f t="shared" si="16"/>
        <v>#N/A</v>
      </c>
      <c r="BN478" t="b">
        <f t="shared" si="15"/>
        <v>1</v>
      </c>
    </row>
    <row r="479" spans="65:66" x14ac:dyDescent="0.3">
      <c r="BM479" t="e">
        <f t="shared" si="16"/>
        <v>#N/A</v>
      </c>
      <c r="BN479" t="b">
        <f t="shared" si="15"/>
        <v>1</v>
      </c>
    </row>
    <row r="480" spans="65:66" x14ac:dyDescent="0.3">
      <c r="BM480" t="e">
        <f t="shared" si="16"/>
        <v>#N/A</v>
      </c>
      <c r="BN480" t="b">
        <f t="shared" si="15"/>
        <v>1</v>
      </c>
    </row>
    <row r="481" spans="65:66" x14ac:dyDescent="0.3">
      <c r="BM481" t="e">
        <f t="shared" si="16"/>
        <v>#N/A</v>
      </c>
      <c r="BN481" t="b">
        <f t="shared" si="15"/>
        <v>1</v>
      </c>
    </row>
    <row r="482" spans="65:66" x14ac:dyDescent="0.3">
      <c r="BM482" t="e">
        <f t="shared" si="16"/>
        <v>#N/A</v>
      </c>
      <c r="BN482" t="b">
        <f t="shared" si="15"/>
        <v>1</v>
      </c>
    </row>
    <row r="483" spans="65:66" x14ac:dyDescent="0.3">
      <c r="BM483" t="e">
        <f t="shared" si="16"/>
        <v>#N/A</v>
      </c>
      <c r="BN483" t="b">
        <f t="shared" si="15"/>
        <v>1</v>
      </c>
    </row>
    <row r="484" spans="65:66" x14ac:dyDescent="0.3">
      <c r="BM484" t="e">
        <f t="shared" si="16"/>
        <v>#N/A</v>
      </c>
      <c r="BN484" t="b">
        <f t="shared" si="15"/>
        <v>1</v>
      </c>
    </row>
    <row r="485" spans="65:66" x14ac:dyDescent="0.3">
      <c r="BM485" t="e">
        <f t="shared" si="16"/>
        <v>#N/A</v>
      </c>
      <c r="BN485" t="b">
        <f t="shared" si="15"/>
        <v>1</v>
      </c>
    </row>
    <row r="486" spans="65:66" x14ac:dyDescent="0.3">
      <c r="BM486" t="e">
        <f t="shared" si="16"/>
        <v>#N/A</v>
      </c>
      <c r="BN486" t="b">
        <f t="shared" si="15"/>
        <v>1</v>
      </c>
    </row>
    <row r="487" spans="65:66" x14ac:dyDescent="0.3">
      <c r="BM487" t="e">
        <f t="shared" si="16"/>
        <v>#N/A</v>
      </c>
      <c r="BN487" t="b">
        <f t="shared" si="15"/>
        <v>1</v>
      </c>
    </row>
    <row r="488" spans="65:66" x14ac:dyDescent="0.3">
      <c r="BM488" t="e">
        <f t="shared" si="16"/>
        <v>#N/A</v>
      </c>
      <c r="BN488" t="b">
        <f t="shared" si="15"/>
        <v>1</v>
      </c>
    </row>
    <row r="489" spans="65:66" x14ac:dyDescent="0.3">
      <c r="BM489" t="e">
        <f t="shared" si="16"/>
        <v>#N/A</v>
      </c>
      <c r="BN489" t="b">
        <f t="shared" si="15"/>
        <v>1</v>
      </c>
    </row>
    <row r="490" spans="65:66" x14ac:dyDescent="0.3">
      <c r="BM490" t="e">
        <f t="shared" si="16"/>
        <v>#N/A</v>
      </c>
      <c r="BN490" t="b">
        <f t="shared" si="15"/>
        <v>1</v>
      </c>
    </row>
    <row r="491" spans="65:66" x14ac:dyDescent="0.3">
      <c r="BM491" t="e">
        <f t="shared" si="16"/>
        <v>#N/A</v>
      </c>
      <c r="BN491" t="b">
        <f t="shared" si="15"/>
        <v>1</v>
      </c>
    </row>
    <row r="492" spans="65:66" x14ac:dyDescent="0.3">
      <c r="BM492" t="e">
        <f t="shared" si="16"/>
        <v>#N/A</v>
      </c>
      <c r="BN492" t="b">
        <f t="shared" si="15"/>
        <v>1</v>
      </c>
    </row>
    <row r="493" spans="65:66" x14ac:dyDescent="0.3">
      <c r="BM493" t="e">
        <f t="shared" si="16"/>
        <v>#N/A</v>
      </c>
      <c r="BN493" t="b">
        <f t="shared" si="15"/>
        <v>1</v>
      </c>
    </row>
    <row r="494" spans="65:66" x14ac:dyDescent="0.3">
      <c r="BM494" t="e">
        <f t="shared" si="16"/>
        <v>#N/A</v>
      </c>
      <c r="BN494" t="b">
        <f t="shared" si="15"/>
        <v>1</v>
      </c>
    </row>
    <row r="495" spans="65:66" x14ac:dyDescent="0.3">
      <c r="BM495" t="e">
        <f t="shared" si="16"/>
        <v>#N/A</v>
      </c>
      <c r="BN495" t="b">
        <f t="shared" si="15"/>
        <v>1</v>
      </c>
    </row>
    <row r="496" spans="65:66" x14ac:dyDescent="0.3">
      <c r="BM496" t="e">
        <f t="shared" si="16"/>
        <v>#N/A</v>
      </c>
      <c r="BN496" t="b">
        <f t="shared" si="15"/>
        <v>1</v>
      </c>
    </row>
    <row r="497" spans="65:66" x14ac:dyDescent="0.3">
      <c r="BM497" t="e">
        <f t="shared" si="16"/>
        <v>#N/A</v>
      </c>
      <c r="BN497" t="b">
        <f t="shared" si="15"/>
        <v>1</v>
      </c>
    </row>
    <row r="498" spans="65:66" x14ac:dyDescent="0.3">
      <c r="BM498" t="e">
        <f t="shared" si="16"/>
        <v>#N/A</v>
      </c>
      <c r="BN498" t="b">
        <f t="shared" si="15"/>
        <v>1</v>
      </c>
    </row>
    <row r="499" spans="65:66" x14ac:dyDescent="0.3">
      <c r="BM499" t="e">
        <f t="shared" si="16"/>
        <v>#N/A</v>
      </c>
      <c r="BN499" t="b">
        <f t="shared" si="15"/>
        <v>1</v>
      </c>
    </row>
    <row r="500" spans="65:66" x14ac:dyDescent="0.3">
      <c r="BM500" t="e">
        <f t="shared" si="16"/>
        <v>#N/A</v>
      </c>
      <c r="BN500" t="b">
        <f t="shared" si="15"/>
        <v>1</v>
      </c>
    </row>
    <row r="501" spans="65:66" x14ac:dyDescent="0.3">
      <c r="BM501" t="e">
        <f t="shared" si="16"/>
        <v>#N/A</v>
      </c>
      <c r="BN501" t="b">
        <f t="shared" si="15"/>
        <v>1</v>
      </c>
    </row>
    <row r="502" spans="65:66" x14ac:dyDescent="0.3">
      <c r="BM502" t="e">
        <f t="shared" si="16"/>
        <v>#N/A</v>
      </c>
      <c r="BN502" t="b">
        <f t="shared" si="15"/>
        <v>1</v>
      </c>
    </row>
    <row r="503" spans="65:66" x14ac:dyDescent="0.3">
      <c r="BM503" t="e">
        <f t="shared" si="16"/>
        <v>#N/A</v>
      </c>
      <c r="BN503" t="b">
        <f t="shared" si="15"/>
        <v>1</v>
      </c>
    </row>
    <row r="504" spans="65:66" x14ac:dyDescent="0.3">
      <c r="BM504" t="e">
        <f t="shared" si="16"/>
        <v>#N/A</v>
      </c>
      <c r="BN504" t="b">
        <f t="shared" si="15"/>
        <v>1</v>
      </c>
    </row>
    <row r="505" spans="65:66" x14ac:dyDescent="0.3">
      <c r="BM505" t="e">
        <f t="shared" si="16"/>
        <v>#N/A</v>
      </c>
      <c r="BN505" t="b">
        <f t="shared" si="15"/>
        <v>1</v>
      </c>
    </row>
    <row r="506" spans="65:66" x14ac:dyDescent="0.3">
      <c r="BM506" t="e">
        <f t="shared" si="16"/>
        <v>#N/A</v>
      </c>
      <c r="BN506" t="b">
        <f t="shared" si="15"/>
        <v>1</v>
      </c>
    </row>
    <row r="507" spans="65:66" x14ac:dyDescent="0.3">
      <c r="BM507" t="e">
        <f t="shared" si="16"/>
        <v>#N/A</v>
      </c>
      <c r="BN507" t="b">
        <f t="shared" si="15"/>
        <v>1</v>
      </c>
    </row>
    <row r="508" spans="65:66" x14ac:dyDescent="0.3">
      <c r="BM508" t="e">
        <f t="shared" si="16"/>
        <v>#N/A</v>
      </c>
      <c r="BN508" t="b">
        <f t="shared" si="15"/>
        <v>1</v>
      </c>
    </row>
    <row r="509" spans="65:66" x14ac:dyDescent="0.3">
      <c r="BM509" t="e">
        <f t="shared" si="16"/>
        <v>#N/A</v>
      </c>
      <c r="BN509" t="b">
        <f t="shared" si="15"/>
        <v>1</v>
      </c>
    </row>
    <row r="510" spans="65:66" x14ac:dyDescent="0.3">
      <c r="BM510" t="e">
        <f t="shared" si="16"/>
        <v>#N/A</v>
      </c>
      <c r="BN510" t="b">
        <f t="shared" si="15"/>
        <v>1</v>
      </c>
    </row>
    <row r="511" spans="65:66" x14ac:dyDescent="0.3">
      <c r="BM511" t="e">
        <f t="shared" si="16"/>
        <v>#N/A</v>
      </c>
      <c r="BN511" t="b">
        <f t="shared" si="15"/>
        <v>1</v>
      </c>
    </row>
    <row r="512" spans="65:66" x14ac:dyDescent="0.3">
      <c r="BM512" t="e">
        <f t="shared" si="16"/>
        <v>#N/A</v>
      </c>
      <c r="BN512" t="b">
        <f t="shared" si="15"/>
        <v>1</v>
      </c>
    </row>
    <row r="513" spans="65:66" x14ac:dyDescent="0.3">
      <c r="BM513" t="e">
        <f t="shared" si="16"/>
        <v>#N/A</v>
      </c>
      <c r="BN513" t="b">
        <f t="shared" si="15"/>
        <v>1</v>
      </c>
    </row>
    <row r="514" spans="65:66" x14ac:dyDescent="0.3">
      <c r="BM514" t="e">
        <f t="shared" si="16"/>
        <v>#N/A</v>
      </c>
      <c r="BN514" t="b">
        <f t="shared" si="15"/>
        <v>1</v>
      </c>
    </row>
    <row r="515" spans="65:66" x14ac:dyDescent="0.3">
      <c r="BM515" t="e">
        <f t="shared" si="16"/>
        <v>#N/A</v>
      </c>
      <c r="BN515" t="b">
        <f t="shared" ref="BN515:BN578" si="17">IF(OR(ISNA(BM515)=FALSE,ISNA(BM516)=FALSE),FALSE,TRUE)</f>
        <v>1</v>
      </c>
    </row>
    <row r="516" spans="65:66" x14ac:dyDescent="0.3">
      <c r="BM516" t="e">
        <f t="shared" si="16"/>
        <v>#N/A</v>
      </c>
      <c r="BN516" t="b">
        <f t="shared" si="17"/>
        <v>1</v>
      </c>
    </row>
    <row r="517" spans="65:66" x14ac:dyDescent="0.3">
      <c r="BM517" t="e">
        <f t="shared" si="16"/>
        <v>#N/A</v>
      </c>
      <c r="BN517" t="b">
        <f t="shared" si="17"/>
        <v>1</v>
      </c>
    </row>
    <row r="518" spans="65:66" x14ac:dyDescent="0.3">
      <c r="BM518" t="e">
        <f t="shared" ref="BM518:BM581" si="18">IF(OR(BL517="✔",BL518="✔"),#N/A,VLOOKUP(B517&amp;"*",B518,1,FALSE))</f>
        <v>#N/A</v>
      </c>
      <c r="BN518" t="b">
        <f t="shared" si="17"/>
        <v>1</v>
      </c>
    </row>
    <row r="519" spans="65:66" x14ac:dyDescent="0.3">
      <c r="BM519" t="e">
        <f t="shared" si="18"/>
        <v>#N/A</v>
      </c>
      <c r="BN519" t="b">
        <f t="shared" si="17"/>
        <v>1</v>
      </c>
    </row>
    <row r="520" spans="65:66" x14ac:dyDescent="0.3">
      <c r="BM520" t="e">
        <f t="shared" si="18"/>
        <v>#N/A</v>
      </c>
      <c r="BN520" t="b">
        <f t="shared" si="17"/>
        <v>1</v>
      </c>
    </row>
    <row r="521" spans="65:66" x14ac:dyDescent="0.3">
      <c r="BM521" t="e">
        <f t="shared" si="18"/>
        <v>#N/A</v>
      </c>
      <c r="BN521" t="b">
        <f t="shared" si="17"/>
        <v>1</v>
      </c>
    </row>
    <row r="522" spans="65:66" x14ac:dyDescent="0.3">
      <c r="BM522" t="e">
        <f t="shared" si="18"/>
        <v>#N/A</v>
      </c>
      <c r="BN522" t="b">
        <f t="shared" si="17"/>
        <v>1</v>
      </c>
    </row>
    <row r="523" spans="65:66" x14ac:dyDescent="0.3">
      <c r="BM523" t="e">
        <f t="shared" si="18"/>
        <v>#N/A</v>
      </c>
      <c r="BN523" t="b">
        <f t="shared" si="17"/>
        <v>1</v>
      </c>
    </row>
    <row r="524" spans="65:66" x14ac:dyDescent="0.3">
      <c r="BM524" t="e">
        <f t="shared" si="18"/>
        <v>#N/A</v>
      </c>
      <c r="BN524" t="b">
        <f t="shared" si="17"/>
        <v>1</v>
      </c>
    </row>
    <row r="525" spans="65:66" x14ac:dyDescent="0.3">
      <c r="BM525" t="e">
        <f t="shared" si="18"/>
        <v>#N/A</v>
      </c>
      <c r="BN525" t="b">
        <f t="shared" si="17"/>
        <v>1</v>
      </c>
    </row>
    <row r="526" spans="65:66" x14ac:dyDescent="0.3">
      <c r="BM526" t="e">
        <f t="shared" si="18"/>
        <v>#N/A</v>
      </c>
      <c r="BN526" t="b">
        <f t="shared" si="17"/>
        <v>1</v>
      </c>
    </row>
    <row r="527" spans="65:66" x14ac:dyDescent="0.3">
      <c r="BM527" t="e">
        <f t="shared" si="18"/>
        <v>#N/A</v>
      </c>
      <c r="BN527" t="b">
        <f t="shared" si="17"/>
        <v>1</v>
      </c>
    </row>
    <row r="528" spans="65:66" x14ac:dyDescent="0.3">
      <c r="BM528" t="e">
        <f t="shared" si="18"/>
        <v>#N/A</v>
      </c>
      <c r="BN528" t="b">
        <f t="shared" si="17"/>
        <v>1</v>
      </c>
    </row>
    <row r="529" spans="65:66" x14ac:dyDescent="0.3">
      <c r="BM529" t="e">
        <f t="shared" si="18"/>
        <v>#N/A</v>
      </c>
      <c r="BN529" t="b">
        <f t="shared" si="17"/>
        <v>1</v>
      </c>
    </row>
    <row r="530" spans="65:66" x14ac:dyDescent="0.3">
      <c r="BM530" t="e">
        <f t="shared" si="18"/>
        <v>#N/A</v>
      </c>
      <c r="BN530" t="b">
        <f t="shared" si="17"/>
        <v>1</v>
      </c>
    </row>
    <row r="531" spans="65:66" x14ac:dyDescent="0.3">
      <c r="BM531" t="e">
        <f t="shared" si="18"/>
        <v>#N/A</v>
      </c>
      <c r="BN531" t="b">
        <f t="shared" si="17"/>
        <v>1</v>
      </c>
    </row>
    <row r="532" spans="65:66" x14ac:dyDescent="0.3">
      <c r="BM532" t="e">
        <f t="shared" si="18"/>
        <v>#N/A</v>
      </c>
      <c r="BN532" t="b">
        <f t="shared" si="17"/>
        <v>1</v>
      </c>
    </row>
    <row r="533" spans="65:66" x14ac:dyDescent="0.3">
      <c r="BM533" t="e">
        <f t="shared" si="18"/>
        <v>#N/A</v>
      </c>
      <c r="BN533" t="b">
        <f t="shared" si="17"/>
        <v>1</v>
      </c>
    </row>
    <row r="534" spans="65:66" x14ac:dyDescent="0.3">
      <c r="BM534" t="e">
        <f t="shared" si="18"/>
        <v>#N/A</v>
      </c>
      <c r="BN534" t="b">
        <f t="shared" si="17"/>
        <v>1</v>
      </c>
    </row>
    <row r="535" spans="65:66" x14ac:dyDescent="0.3">
      <c r="BM535" t="e">
        <f t="shared" si="18"/>
        <v>#N/A</v>
      </c>
      <c r="BN535" t="b">
        <f t="shared" si="17"/>
        <v>1</v>
      </c>
    </row>
    <row r="536" spans="65:66" x14ac:dyDescent="0.3">
      <c r="BM536" t="e">
        <f t="shared" si="18"/>
        <v>#N/A</v>
      </c>
      <c r="BN536" t="b">
        <f t="shared" si="17"/>
        <v>1</v>
      </c>
    </row>
    <row r="537" spans="65:66" x14ac:dyDescent="0.3">
      <c r="BM537" t="e">
        <f t="shared" si="18"/>
        <v>#N/A</v>
      </c>
      <c r="BN537" t="b">
        <f t="shared" si="17"/>
        <v>1</v>
      </c>
    </row>
    <row r="538" spans="65:66" x14ac:dyDescent="0.3">
      <c r="BM538" t="e">
        <f t="shared" si="18"/>
        <v>#N/A</v>
      </c>
      <c r="BN538" t="b">
        <f t="shared" si="17"/>
        <v>1</v>
      </c>
    </row>
    <row r="539" spans="65:66" x14ac:dyDescent="0.3">
      <c r="BM539" t="e">
        <f t="shared" si="18"/>
        <v>#N/A</v>
      </c>
      <c r="BN539" t="b">
        <f t="shared" si="17"/>
        <v>1</v>
      </c>
    </row>
    <row r="540" spans="65:66" x14ac:dyDescent="0.3">
      <c r="BM540" t="e">
        <f t="shared" si="18"/>
        <v>#N/A</v>
      </c>
      <c r="BN540" t="b">
        <f t="shared" si="17"/>
        <v>1</v>
      </c>
    </row>
    <row r="541" spans="65:66" x14ac:dyDescent="0.3">
      <c r="BM541" t="e">
        <f t="shared" si="18"/>
        <v>#N/A</v>
      </c>
      <c r="BN541" t="b">
        <f t="shared" si="17"/>
        <v>1</v>
      </c>
    </row>
    <row r="542" spans="65:66" x14ac:dyDescent="0.3">
      <c r="BM542" t="e">
        <f t="shared" si="18"/>
        <v>#N/A</v>
      </c>
      <c r="BN542" t="b">
        <f t="shared" si="17"/>
        <v>1</v>
      </c>
    </row>
    <row r="543" spans="65:66" x14ac:dyDescent="0.3">
      <c r="BM543" t="e">
        <f t="shared" si="18"/>
        <v>#N/A</v>
      </c>
      <c r="BN543" t="b">
        <f t="shared" si="17"/>
        <v>1</v>
      </c>
    </row>
    <row r="544" spans="65:66" x14ac:dyDescent="0.3">
      <c r="BM544" t="e">
        <f t="shared" si="18"/>
        <v>#N/A</v>
      </c>
      <c r="BN544" t="b">
        <f t="shared" si="17"/>
        <v>1</v>
      </c>
    </row>
    <row r="545" spans="65:66" x14ac:dyDescent="0.3">
      <c r="BM545" t="e">
        <f t="shared" si="18"/>
        <v>#N/A</v>
      </c>
      <c r="BN545" t="b">
        <f t="shared" si="17"/>
        <v>1</v>
      </c>
    </row>
    <row r="546" spans="65:66" x14ac:dyDescent="0.3">
      <c r="BM546" t="e">
        <f t="shared" si="18"/>
        <v>#N/A</v>
      </c>
      <c r="BN546" t="b">
        <f t="shared" si="17"/>
        <v>1</v>
      </c>
    </row>
    <row r="547" spans="65:66" x14ac:dyDescent="0.3">
      <c r="BM547" t="e">
        <f t="shared" si="18"/>
        <v>#N/A</v>
      </c>
      <c r="BN547" t="b">
        <f t="shared" si="17"/>
        <v>1</v>
      </c>
    </row>
    <row r="548" spans="65:66" x14ac:dyDescent="0.3">
      <c r="BM548" t="e">
        <f t="shared" si="18"/>
        <v>#N/A</v>
      </c>
      <c r="BN548" t="b">
        <f t="shared" si="17"/>
        <v>1</v>
      </c>
    </row>
    <row r="549" spans="65:66" x14ac:dyDescent="0.3">
      <c r="BM549" t="e">
        <f t="shared" si="18"/>
        <v>#N/A</v>
      </c>
      <c r="BN549" t="b">
        <f t="shared" si="17"/>
        <v>1</v>
      </c>
    </row>
    <row r="550" spans="65:66" x14ac:dyDescent="0.3">
      <c r="BM550" t="e">
        <f t="shared" si="18"/>
        <v>#N/A</v>
      </c>
      <c r="BN550" t="b">
        <f t="shared" si="17"/>
        <v>1</v>
      </c>
    </row>
    <row r="551" spans="65:66" x14ac:dyDescent="0.3">
      <c r="BM551" t="e">
        <f t="shared" si="18"/>
        <v>#N/A</v>
      </c>
      <c r="BN551" t="b">
        <f t="shared" si="17"/>
        <v>1</v>
      </c>
    </row>
    <row r="552" spans="65:66" x14ac:dyDescent="0.3">
      <c r="BM552" t="e">
        <f t="shared" si="18"/>
        <v>#N/A</v>
      </c>
      <c r="BN552" t="b">
        <f t="shared" si="17"/>
        <v>1</v>
      </c>
    </row>
    <row r="553" spans="65:66" x14ac:dyDescent="0.3">
      <c r="BM553" t="e">
        <f t="shared" si="18"/>
        <v>#N/A</v>
      </c>
      <c r="BN553" t="b">
        <f t="shared" si="17"/>
        <v>1</v>
      </c>
    </row>
    <row r="554" spans="65:66" x14ac:dyDescent="0.3">
      <c r="BM554" t="e">
        <f t="shared" si="18"/>
        <v>#N/A</v>
      </c>
      <c r="BN554" t="b">
        <f t="shared" si="17"/>
        <v>1</v>
      </c>
    </row>
    <row r="555" spans="65:66" x14ac:dyDescent="0.3">
      <c r="BM555" t="e">
        <f t="shared" si="18"/>
        <v>#N/A</v>
      </c>
      <c r="BN555" t="b">
        <f t="shared" si="17"/>
        <v>1</v>
      </c>
    </row>
    <row r="556" spans="65:66" x14ac:dyDescent="0.3">
      <c r="BM556" t="e">
        <f t="shared" si="18"/>
        <v>#N/A</v>
      </c>
      <c r="BN556" t="b">
        <f t="shared" si="17"/>
        <v>1</v>
      </c>
    </row>
    <row r="557" spans="65:66" x14ac:dyDescent="0.3">
      <c r="BM557" t="e">
        <f t="shared" si="18"/>
        <v>#N/A</v>
      </c>
      <c r="BN557" t="b">
        <f t="shared" si="17"/>
        <v>1</v>
      </c>
    </row>
    <row r="558" spans="65:66" x14ac:dyDescent="0.3">
      <c r="BM558" t="e">
        <f t="shared" si="18"/>
        <v>#N/A</v>
      </c>
      <c r="BN558" t="b">
        <f t="shared" si="17"/>
        <v>1</v>
      </c>
    </row>
    <row r="559" spans="65:66" x14ac:dyDescent="0.3">
      <c r="BM559" t="e">
        <f t="shared" si="18"/>
        <v>#N/A</v>
      </c>
      <c r="BN559" t="b">
        <f t="shared" si="17"/>
        <v>1</v>
      </c>
    </row>
    <row r="560" spans="65:66" x14ac:dyDescent="0.3">
      <c r="BM560" t="e">
        <f t="shared" si="18"/>
        <v>#N/A</v>
      </c>
      <c r="BN560" t="b">
        <f t="shared" si="17"/>
        <v>1</v>
      </c>
    </row>
    <row r="561" spans="65:66" x14ac:dyDescent="0.3">
      <c r="BM561" t="e">
        <f t="shared" si="18"/>
        <v>#N/A</v>
      </c>
      <c r="BN561" t="b">
        <f t="shared" si="17"/>
        <v>1</v>
      </c>
    </row>
    <row r="562" spans="65:66" x14ac:dyDescent="0.3">
      <c r="BM562" t="e">
        <f t="shared" si="18"/>
        <v>#N/A</v>
      </c>
      <c r="BN562" t="b">
        <f t="shared" si="17"/>
        <v>1</v>
      </c>
    </row>
    <row r="563" spans="65:66" x14ac:dyDescent="0.3">
      <c r="BM563" t="e">
        <f t="shared" si="18"/>
        <v>#N/A</v>
      </c>
      <c r="BN563" t="b">
        <f t="shared" si="17"/>
        <v>1</v>
      </c>
    </row>
    <row r="564" spans="65:66" x14ac:dyDescent="0.3">
      <c r="BM564" t="e">
        <f t="shared" si="18"/>
        <v>#N/A</v>
      </c>
      <c r="BN564" t="b">
        <f t="shared" si="17"/>
        <v>1</v>
      </c>
    </row>
    <row r="565" spans="65:66" x14ac:dyDescent="0.3">
      <c r="BM565" t="e">
        <f t="shared" si="18"/>
        <v>#N/A</v>
      </c>
      <c r="BN565" t="b">
        <f t="shared" si="17"/>
        <v>1</v>
      </c>
    </row>
    <row r="566" spans="65:66" x14ac:dyDescent="0.3">
      <c r="BM566" t="e">
        <f t="shared" si="18"/>
        <v>#N/A</v>
      </c>
      <c r="BN566" t="b">
        <f t="shared" si="17"/>
        <v>1</v>
      </c>
    </row>
    <row r="567" spans="65:66" x14ac:dyDescent="0.3">
      <c r="BM567" t="e">
        <f t="shared" si="18"/>
        <v>#N/A</v>
      </c>
      <c r="BN567" t="b">
        <f t="shared" si="17"/>
        <v>1</v>
      </c>
    </row>
    <row r="568" spans="65:66" x14ac:dyDescent="0.3">
      <c r="BM568" t="e">
        <f t="shared" si="18"/>
        <v>#N/A</v>
      </c>
      <c r="BN568" t="b">
        <f t="shared" si="17"/>
        <v>1</v>
      </c>
    </row>
    <row r="569" spans="65:66" x14ac:dyDescent="0.3">
      <c r="BM569" t="e">
        <f t="shared" si="18"/>
        <v>#N/A</v>
      </c>
      <c r="BN569" t="b">
        <f t="shared" si="17"/>
        <v>1</v>
      </c>
    </row>
    <row r="570" spans="65:66" x14ac:dyDescent="0.3">
      <c r="BM570" t="e">
        <f t="shared" si="18"/>
        <v>#N/A</v>
      </c>
      <c r="BN570" t="b">
        <f t="shared" si="17"/>
        <v>1</v>
      </c>
    </row>
    <row r="571" spans="65:66" x14ac:dyDescent="0.3">
      <c r="BM571" t="e">
        <f t="shared" si="18"/>
        <v>#N/A</v>
      </c>
      <c r="BN571" t="b">
        <f t="shared" si="17"/>
        <v>1</v>
      </c>
    </row>
    <row r="572" spans="65:66" x14ac:dyDescent="0.3">
      <c r="BM572" t="e">
        <f t="shared" si="18"/>
        <v>#N/A</v>
      </c>
      <c r="BN572" t="b">
        <f t="shared" si="17"/>
        <v>1</v>
      </c>
    </row>
    <row r="573" spans="65:66" x14ac:dyDescent="0.3">
      <c r="BM573" t="e">
        <f t="shared" si="18"/>
        <v>#N/A</v>
      </c>
      <c r="BN573" t="b">
        <f t="shared" si="17"/>
        <v>1</v>
      </c>
    </row>
    <row r="574" spans="65:66" x14ac:dyDescent="0.3">
      <c r="BM574" t="e">
        <f t="shared" si="18"/>
        <v>#N/A</v>
      </c>
      <c r="BN574" t="b">
        <f t="shared" si="17"/>
        <v>1</v>
      </c>
    </row>
    <row r="575" spans="65:66" x14ac:dyDescent="0.3">
      <c r="BM575" t="e">
        <f t="shared" si="18"/>
        <v>#N/A</v>
      </c>
      <c r="BN575" t="b">
        <f t="shared" si="17"/>
        <v>1</v>
      </c>
    </row>
    <row r="576" spans="65:66" x14ac:dyDescent="0.3">
      <c r="BM576" t="e">
        <f t="shared" si="18"/>
        <v>#N/A</v>
      </c>
      <c r="BN576" t="b">
        <f t="shared" si="17"/>
        <v>1</v>
      </c>
    </row>
    <row r="577" spans="65:66" x14ac:dyDescent="0.3">
      <c r="BM577" t="e">
        <f t="shared" si="18"/>
        <v>#N/A</v>
      </c>
      <c r="BN577" t="b">
        <f t="shared" si="17"/>
        <v>1</v>
      </c>
    </row>
    <row r="578" spans="65:66" x14ac:dyDescent="0.3">
      <c r="BM578" t="e">
        <f t="shared" si="18"/>
        <v>#N/A</v>
      </c>
      <c r="BN578" t="b">
        <f t="shared" si="17"/>
        <v>1</v>
      </c>
    </row>
    <row r="579" spans="65:66" x14ac:dyDescent="0.3">
      <c r="BM579" t="e">
        <f t="shared" si="18"/>
        <v>#N/A</v>
      </c>
      <c r="BN579" t="b">
        <f t="shared" ref="BN579:BN642" si="19">IF(OR(ISNA(BM579)=FALSE,ISNA(BM580)=FALSE),FALSE,TRUE)</f>
        <v>1</v>
      </c>
    </row>
    <row r="580" spans="65:66" x14ac:dyDescent="0.3">
      <c r="BM580" t="e">
        <f t="shared" si="18"/>
        <v>#N/A</v>
      </c>
      <c r="BN580" t="b">
        <f t="shared" si="19"/>
        <v>1</v>
      </c>
    </row>
    <row r="581" spans="65:66" x14ac:dyDescent="0.3">
      <c r="BM581" t="e">
        <f t="shared" si="18"/>
        <v>#N/A</v>
      </c>
      <c r="BN581" t="b">
        <f t="shared" si="19"/>
        <v>1</v>
      </c>
    </row>
    <row r="582" spans="65:66" x14ac:dyDescent="0.3">
      <c r="BM582" t="e">
        <f t="shared" ref="BM582:BM645" si="20">IF(OR(BL581="✔",BL582="✔"),#N/A,VLOOKUP(B581&amp;"*",B582,1,FALSE))</f>
        <v>#N/A</v>
      </c>
      <c r="BN582" t="b">
        <f t="shared" si="19"/>
        <v>1</v>
      </c>
    </row>
    <row r="583" spans="65:66" x14ac:dyDescent="0.3">
      <c r="BM583" t="e">
        <f t="shared" si="20"/>
        <v>#N/A</v>
      </c>
      <c r="BN583" t="b">
        <f t="shared" si="19"/>
        <v>1</v>
      </c>
    </row>
    <row r="584" spans="65:66" x14ac:dyDescent="0.3">
      <c r="BM584" t="e">
        <f t="shared" si="20"/>
        <v>#N/A</v>
      </c>
      <c r="BN584" t="b">
        <f t="shared" si="19"/>
        <v>1</v>
      </c>
    </row>
    <row r="585" spans="65:66" x14ac:dyDescent="0.3">
      <c r="BM585" t="e">
        <f t="shared" si="20"/>
        <v>#N/A</v>
      </c>
      <c r="BN585" t="b">
        <f t="shared" si="19"/>
        <v>1</v>
      </c>
    </row>
    <row r="586" spans="65:66" x14ac:dyDescent="0.3">
      <c r="BM586" t="e">
        <f t="shared" si="20"/>
        <v>#N/A</v>
      </c>
      <c r="BN586" t="b">
        <f t="shared" si="19"/>
        <v>1</v>
      </c>
    </row>
    <row r="587" spans="65:66" x14ac:dyDescent="0.3">
      <c r="BM587" t="e">
        <f t="shared" si="20"/>
        <v>#N/A</v>
      </c>
      <c r="BN587" t="b">
        <f t="shared" si="19"/>
        <v>1</v>
      </c>
    </row>
    <row r="588" spans="65:66" x14ac:dyDescent="0.3">
      <c r="BM588" t="e">
        <f t="shared" si="20"/>
        <v>#N/A</v>
      </c>
      <c r="BN588" t="b">
        <f t="shared" si="19"/>
        <v>1</v>
      </c>
    </row>
    <row r="589" spans="65:66" x14ac:dyDescent="0.3">
      <c r="BM589" t="e">
        <f t="shared" si="20"/>
        <v>#N/A</v>
      </c>
      <c r="BN589" t="b">
        <f t="shared" si="19"/>
        <v>1</v>
      </c>
    </row>
    <row r="590" spans="65:66" x14ac:dyDescent="0.3">
      <c r="BM590" t="e">
        <f t="shared" si="20"/>
        <v>#N/A</v>
      </c>
      <c r="BN590" t="b">
        <f t="shared" si="19"/>
        <v>1</v>
      </c>
    </row>
    <row r="591" spans="65:66" x14ac:dyDescent="0.3">
      <c r="BM591" t="e">
        <f t="shared" si="20"/>
        <v>#N/A</v>
      </c>
      <c r="BN591" t="b">
        <f t="shared" si="19"/>
        <v>1</v>
      </c>
    </row>
    <row r="592" spans="65:66" x14ac:dyDescent="0.3">
      <c r="BM592" t="e">
        <f t="shared" si="20"/>
        <v>#N/A</v>
      </c>
      <c r="BN592" t="b">
        <f t="shared" si="19"/>
        <v>1</v>
      </c>
    </row>
    <row r="593" spans="65:66" x14ac:dyDescent="0.3">
      <c r="BM593" t="e">
        <f t="shared" si="20"/>
        <v>#N/A</v>
      </c>
      <c r="BN593" t="b">
        <f t="shared" si="19"/>
        <v>1</v>
      </c>
    </row>
    <row r="594" spans="65:66" x14ac:dyDescent="0.3">
      <c r="BM594" t="e">
        <f t="shared" si="20"/>
        <v>#N/A</v>
      </c>
      <c r="BN594" t="b">
        <f t="shared" si="19"/>
        <v>1</v>
      </c>
    </row>
    <row r="595" spans="65:66" x14ac:dyDescent="0.3">
      <c r="BM595" t="e">
        <f t="shared" si="20"/>
        <v>#N/A</v>
      </c>
      <c r="BN595" t="b">
        <f t="shared" si="19"/>
        <v>1</v>
      </c>
    </row>
    <row r="596" spans="65:66" x14ac:dyDescent="0.3">
      <c r="BM596" t="e">
        <f t="shared" si="20"/>
        <v>#N/A</v>
      </c>
      <c r="BN596" t="b">
        <f t="shared" si="19"/>
        <v>1</v>
      </c>
    </row>
    <row r="597" spans="65:66" x14ac:dyDescent="0.3">
      <c r="BM597" t="e">
        <f t="shared" si="20"/>
        <v>#N/A</v>
      </c>
      <c r="BN597" t="b">
        <f t="shared" si="19"/>
        <v>1</v>
      </c>
    </row>
    <row r="598" spans="65:66" x14ac:dyDescent="0.3">
      <c r="BM598" t="e">
        <f t="shared" si="20"/>
        <v>#N/A</v>
      </c>
      <c r="BN598" t="b">
        <f t="shared" si="19"/>
        <v>1</v>
      </c>
    </row>
    <row r="599" spans="65:66" x14ac:dyDescent="0.3">
      <c r="BM599" t="e">
        <f t="shared" si="20"/>
        <v>#N/A</v>
      </c>
      <c r="BN599" t="b">
        <f t="shared" si="19"/>
        <v>1</v>
      </c>
    </row>
    <row r="600" spans="65:66" x14ac:dyDescent="0.3">
      <c r="BM600" t="e">
        <f t="shared" si="20"/>
        <v>#N/A</v>
      </c>
      <c r="BN600" t="b">
        <f t="shared" si="19"/>
        <v>1</v>
      </c>
    </row>
    <row r="601" spans="65:66" x14ac:dyDescent="0.3">
      <c r="BM601" t="e">
        <f t="shared" si="20"/>
        <v>#N/A</v>
      </c>
      <c r="BN601" t="b">
        <f t="shared" si="19"/>
        <v>1</v>
      </c>
    </row>
    <row r="602" spans="65:66" x14ac:dyDescent="0.3">
      <c r="BM602" t="e">
        <f t="shared" si="20"/>
        <v>#N/A</v>
      </c>
      <c r="BN602" t="b">
        <f t="shared" si="19"/>
        <v>1</v>
      </c>
    </row>
    <row r="603" spans="65:66" x14ac:dyDescent="0.3">
      <c r="BM603" t="e">
        <f t="shared" si="20"/>
        <v>#N/A</v>
      </c>
      <c r="BN603" t="b">
        <f t="shared" si="19"/>
        <v>1</v>
      </c>
    </row>
    <row r="604" spans="65:66" x14ac:dyDescent="0.3">
      <c r="BM604" t="e">
        <f t="shared" si="20"/>
        <v>#N/A</v>
      </c>
      <c r="BN604" t="b">
        <f t="shared" si="19"/>
        <v>1</v>
      </c>
    </row>
    <row r="605" spans="65:66" x14ac:dyDescent="0.3">
      <c r="BM605" t="e">
        <f t="shared" si="20"/>
        <v>#N/A</v>
      </c>
      <c r="BN605" t="b">
        <f t="shared" si="19"/>
        <v>1</v>
      </c>
    </row>
    <row r="606" spans="65:66" x14ac:dyDescent="0.3">
      <c r="BM606" t="e">
        <f t="shared" si="20"/>
        <v>#N/A</v>
      </c>
      <c r="BN606" t="b">
        <f t="shared" si="19"/>
        <v>1</v>
      </c>
    </row>
    <row r="607" spans="65:66" x14ac:dyDescent="0.3">
      <c r="BM607" t="e">
        <f t="shared" si="20"/>
        <v>#N/A</v>
      </c>
      <c r="BN607" t="b">
        <f t="shared" si="19"/>
        <v>1</v>
      </c>
    </row>
    <row r="608" spans="65:66" x14ac:dyDescent="0.3">
      <c r="BM608" t="e">
        <f t="shared" si="20"/>
        <v>#N/A</v>
      </c>
      <c r="BN608" t="b">
        <f t="shared" si="19"/>
        <v>1</v>
      </c>
    </row>
    <row r="609" spans="65:66" x14ac:dyDescent="0.3">
      <c r="BM609" t="e">
        <f t="shared" si="20"/>
        <v>#N/A</v>
      </c>
      <c r="BN609" t="b">
        <f t="shared" si="19"/>
        <v>1</v>
      </c>
    </row>
    <row r="610" spans="65:66" x14ac:dyDescent="0.3">
      <c r="BM610" t="e">
        <f t="shared" si="20"/>
        <v>#N/A</v>
      </c>
      <c r="BN610" t="b">
        <f t="shared" si="19"/>
        <v>1</v>
      </c>
    </row>
    <row r="611" spans="65:66" x14ac:dyDescent="0.3">
      <c r="BM611" t="e">
        <f t="shared" si="20"/>
        <v>#N/A</v>
      </c>
      <c r="BN611" t="b">
        <f t="shared" si="19"/>
        <v>1</v>
      </c>
    </row>
    <row r="612" spans="65:66" x14ac:dyDescent="0.3">
      <c r="BM612" t="e">
        <f t="shared" si="20"/>
        <v>#N/A</v>
      </c>
      <c r="BN612" t="b">
        <f t="shared" si="19"/>
        <v>1</v>
      </c>
    </row>
    <row r="613" spans="65:66" x14ac:dyDescent="0.3">
      <c r="BM613" t="e">
        <f t="shared" si="20"/>
        <v>#N/A</v>
      </c>
      <c r="BN613" t="b">
        <f t="shared" si="19"/>
        <v>1</v>
      </c>
    </row>
    <row r="614" spans="65:66" x14ac:dyDescent="0.3">
      <c r="BM614" t="e">
        <f t="shared" si="20"/>
        <v>#N/A</v>
      </c>
      <c r="BN614" t="b">
        <f t="shared" si="19"/>
        <v>1</v>
      </c>
    </row>
    <row r="615" spans="65:66" x14ac:dyDescent="0.3">
      <c r="BM615" t="e">
        <f t="shared" si="20"/>
        <v>#N/A</v>
      </c>
      <c r="BN615" t="b">
        <f t="shared" si="19"/>
        <v>1</v>
      </c>
    </row>
    <row r="616" spans="65:66" x14ac:dyDescent="0.3">
      <c r="BM616" t="e">
        <f t="shared" si="20"/>
        <v>#N/A</v>
      </c>
      <c r="BN616" t="b">
        <f t="shared" si="19"/>
        <v>1</v>
      </c>
    </row>
    <row r="617" spans="65:66" x14ac:dyDescent="0.3">
      <c r="BM617" t="e">
        <f t="shared" si="20"/>
        <v>#N/A</v>
      </c>
      <c r="BN617" t="b">
        <f t="shared" si="19"/>
        <v>1</v>
      </c>
    </row>
    <row r="618" spans="65:66" x14ac:dyDescent="0.3">
      <c r="BM618" t="e">
        <f t="shared" si="20"/>
        <v>#N/A</v>
      </c>
      <c r="BN618" t="b">
        <f t="shared" si="19"/>
        <v>1</v>
      </c>
    </row>
    <row r="619" spans="65:66" x14ac:dyDescent="0.3">
      <c r="BM619" t="e">
        <f t="shared" si="20"/>
        <v>#N/A</v>
      </c>
      <c r="BN619" t="b">
        <f t="shared" si="19"/>
        <v>1</v>
      </c>
    </row>
    <row r="620" spans="65:66" x14ac:dyDescent="0.3">
      <c r="BM620" t="e">
        <f t="shared" si="20"/>
        <v>#N/A</v>
      </c>
      <c r="BN620" t="b">
        <f t="shared" si="19"/>
        <v>1</v>
      </c>
    </row>
    <row r="621" spans="65:66" x14ac:dyDescent="0.3">
      <c r="BM621" t="e">
        <f t="shared" si="20"/>
        <v>#N/A</v>
      </c>
      <c r="BN621" t="b">
        <f t="shared" si="19"/>
        <v>1</v>
      </c>
    </row>
    <row r="622" spans="65:66" x14ac:dyDescent="0.3">
      <c r="BM622" t="e">
        <f t="shared" si="20"/>
        <v>#N/A</v>
      </c>
      <c r="BN622" t="b">
        <f t="shared" si="19"/>
        <v>1</v>
      </c>
    </row>
    <row r="623" spans="65:66" x14ac:dyDescent="0.3">
      <c r="BM623" t="e">
        <f t="shared" si="20"/>
        <v>#N/A</v>
      </c>
      <c r="BN623" t="b">
        <f t="shared" si="19"/>
        <v>1</v>
      </c>
    </row>
    <row r="624" spans="65:66" x14ac:dyDescent="0.3">
      <c r="BM624" t="e">
        <f t="shared" si="20"/>
        <v>#N/A</v>
      </c>
      <c r="BN624" t="b">
        <f t="shared" si="19"/>
        <v>1</v>
      </c>
    </row>
    <row r="625" spans="65:66" x14ac:dyDescent="0.3">
      <c r="BM625" t="e">
        <f t="shared" si="20"/>
        <v>#N/A</v>
      </c>
      <c r="BN625" t="b">
        <f t="shared" si="19"/>
        <v>1</v>
      </c>
    </row>
    <row r="626" spans="65:66" x14ac:dyDescent="0.3">
      <c r="BM626" t="e">
        <f t="shared" si="20"/>
        <v>#N/A</v>
      </c>
      <c r="BN626" t="b">
        <f t="shared" si="19"/>
        <v>1</v>
      </c>
    </row>
    <row r="627" spans="65:66" x14ac:dyDescent="0.3">
      <c r="BM627" t="e">
        <f t="shared" si="20"/>
        <v>#N/A</v>
      </c>
      <c r="BN627" t="b">
        <f t="shared" si="19"/>
        <v>1</v>
      </c>
    </row>
    <row r="628" spans="65:66" x14ac:dyDescent="0.3">
      <c r="BM628" t="e">
        <f t="shared" si="20"/>
        <v>#N/A</v>
      </c>
      <c r="BN628" t="b">
        <f t="shared" si="19"/>
        <v>1</v>
      </c>
    </row>
    <row r="629" spans="65:66" x14ac:dyDescent="0.3">
      <c r="BM629" t="e">
        <f t="shared" si="20"/>
        <v>#N/A</v>
      </c>
      <c r="BN629" t="b">
        <f t="shared" si="19"/>
        <v>1</v>
      </c>
    </row>
    <row r="630" spans="65:66" x14ac:dyDescent="0.3">
      <c r="BM630" t="e">
        <f t="shared" si="20"/>
        <v>#N/A</v>
      </c>
      <c r="BN630" t="b">
        <f t="shared" si="19"/>
        <v>1</v>
      </c>
    </row>
    <row r="631" spans="65:66" x14ac:dyDescent="0.3">
      <c r="BM631" t="e">
        <f t="shared" si="20"/>
        <v>#N/A</v>
      </c>
      <c r="BN631" t="b">
        <f t="shared" si="19"/>
        <v>1</v>
      </c>
    </row>
    <row r="632" spans="65:66" x14ac:dyDescent="0.3">
      <c r="BM632" t="e">
        <f t="shared" si="20"/>
        <v>#N/A</v>
      </c>
      <c r="BN632" t="b">
        <f t="shared" si="19"/>
        <v>1</v>
      </c>
    </row>
    <row r="633" spans="65:66" x14ac:dyDescent="0.3">
      <c r="BM633" t="e">
        <f t="shared" si="20"/>
        <v>#N/A</v>
      </c>
      <c r="BN633" t="b">
        <f t="shared" si="19"/>
        <v>1</v>
      </c>
    </row>
    <row r="634" spans="65:66" x14ac:dyDescent="0.3">
      <c r="BM634" t="e">
        <f t="shared" si="20"/>
        <v>#N/A</v>
      </c>
      <c r="BN634" t="b">
        <f t="shared" si="19"/>
        <v>1</v>
      </c>
    </row>
    <row r="635" spans="65:66" x14ac:dyDescent="0.3">
      <c r="BM635" t="e">
        <f t="shared" si="20"/>
        <v>#N/A</v>
      </c>
      <c r="BN635" t="b">
        <f t="shared" si="19"/>
        <v>1</v>
      </c>
    </row>
    <row r="636" spans="65:66" x14ac:dyDescent="0.3">
      <c r="BM636" t="e">
        <f t="shared" si="20"/>
        <v>#N/A</v>
      </c>
      <c r="BN636" t="b">
        <f t="shared" si="19"/>
        <v>1</v>
      </c>
    </row>
    <row r="637" spans="65:66" x14ac:dyDescent="0.3">
      <c r="BM637" t="e">
        <f t="shared" si="20"/>
        <v>#N/A</v>
      </c>
      <c r="BN637" t="b">
        <f t="shared" si="19"/>
        <v>1</v>
      </c>
    </row>
    <row r="638" spans="65:66" x14ac:dyDescent="0.3">
      <c r="BM638" t="e">
        <f t="shared" si="20"/>
        <v>#N/A</v>
      </c>
      <c r="BN638" t="b">
        <f t="shared" si="19"/>
        <v>1</v>
      </c>
    </row>
    <row r="639" spans="65:66" x14ac:dyDescent="0.3">
      <c r="BM639" t="e">
        <f t="shared" si="20"/>
        <v>#N/A</v>
      </c>
      <c r="BN639" t="b">
        <f t="shared" si="19"/>
        <v>1</v>
      </c>
    </row>
    <row r="640" spans="65:66" x14ac:dyDescent="0.3">
      <c r="BM640" t="e">
        <f t="shared" si="20"/>
        <v>#N/A</v>
      </c>
      <c r="BN640" t="b">
        <f t="shared" si="19"/>
        <v>1</v>
      </c>
    </row>
    <row r="641" spans="65:66" x14ac:dyDescent="0.3">
      <c r="BM641" t="e">
        <f t="shared" si="20"/>
        <v>#N/A</v>
      </c>
      <c r="BN641" t="b">
        <f t="shared" si="19"/>
        <v>1</v>
      </c>
    </row>
    <row r="642" spans="65:66" x14ac:dyDescent="0.3">
      <c r="BM642" t="e">
        <f t="shared" si="20"/>
        <v>#N/A</v>
      </c>
      <c r="BN642" t="b">
        <f t="shared" si="19"/>
        <v>1</v>
      </c>
    </row>
    <row r="643" spans="65:66" x14ac:dyDescent="0.3">
      <c r="BM643" t="e">
        <f t="shared" si="20"/>
        <v>#N/A</v>
      </c>
      <c r="BN643" t="b">
        <f t="shared" ref="BN643:BN706" si="21">IF(OR(ISNA(BM643)=FALSE,ISNA(BM644)=FALSE),FALSE,TRUE)</f>
        <v>1</v>
      </c>
    </row>
    <row r="644" spans="65:66" x14ac:dyDescent="0.3">
      <c r="BM644" t="e">
        <f t="shared" si="20"/>
        <v>#N/A</v>
      </c>
      <c r="BN644" t="b">
        <f t="shared" si="21"/>
        <v>1</v>
      </c>
    </row>
    <row r="645" spans="65:66" x14ac:dyDescent="0.3">
      <c r="BM645" t="e">
        <f t="shared" si="20"/>
        <v>#N/A</v>
      </c>
      <c r="BN645" t="b">
        <f t="shared" si="21"/>
        <v>1</v>
      </c>
    </row>
    <row r="646" spans="65:66" x14ac:dyDescent="0.3">
      <c r="BM646" t="e">
        <f t="shared" ref="BM646:BM709" si="22">IF(OR(BL645="✔",BL646="✔"),#N/A,VLOOKUP(B645&amp;"*",B646,1,FALSE))</f>
        <v>#N/A</v>
      </c>
      <c r="BN646" t="b">
        <f t="shared" si="21"/>
        <v>1</v>
      </c>
    </row>
    <row r="647" spans="65:66" x14ac:dyDescent="0.3">
      <c r="BM647" t="e">
        <f t="shared" si="22"/>
        <v>#N/A</v>
      </c>
      <c r="BN647" t="b">
        <f t="shared" si="21"/>
        <v>1</v>
      </c>
    </row>
    <row r="648" spans="65:66" x14ac:dyDescent="0.3">
      <c r="BM648" t="e">
        <f t="shared" si="22"/>
        <v>#N/A</v>
      </c>
      <c r="BN648" t="b">
        <f t="shared" si="21"/>
        <v>1</v>
      </c>
    </row>
    <row r="649" spans="65:66" x14ac:dyDescent="0.3">
      <c r="BM649" t="e">
        <f t="shared" si="22"/>
        <v>#N/A</v>
      </c>
      <c r="BN649" t="b">
        <f t="shared" si="21"/>
        <v>1</v>
      </c>
    </row>
    <row r="650" spans="65:66" x14ac:dyDescent="0.3">
      <c r="BM650" t="e">
        <f t="shared" si="22"/>
        <v>#N/A</v>
      </c>
      <c r="BN650" t="b">
        <f t="shared" si="21"/>
        <v>1</v>
      </c>
    </row>
    <row r="651" spans="65:66" x14ac:dyDescent="0.3">
      <c r="BM651" t="e">
        <f t="shared" si="22"/>
        <v>#N/A</v>
      </c>
      <c r="BN651" t="b">
        <f t="shared" si="21"/>
        <v>1</v>
      </c>
    </row>
    <row r="652" spans="65:66" x14ac:dyDescent="0.3">
      <c r="BM652" t="e">
        <f t="shared" si="22"/>
        <v>#N/A</v>
      </c>
      <c r="BN652" t="b">
        <f t="shared" si="21"/>
        <v>1</v>
      </c>
    </row>
    <row r="653" spans="65:66" x14ac:dyDescent="0.3">
      <c r="BM653" t="e">
        <f t="shared" si="22"/>
        <v>#N/A</v>
      </c>
      <c r="BN653" t="b">
        <f t="shared" si="21"/>
        <v>1</v>
      </c>
    </row>
    <row r="654" spans="65:66" x14ac:dyDescent="0.3">
      <c r="BM654" t="e">
        <f t="shared" si="22"/>
        <v>#N/A</v>
      </c>
      <c r="BN654" t="b">
        <f t="shared" si="21"/>
        <v>1</v>
      </c>
    </row>
    <row r="655" spans="65:66" x14ac:dyDescent="0.3">
      <c r="BM655" t="e">
        <f t="shared" si="22"/>
        <v>#N/A</v>
      </c>
      <c r="BN655" t="b">
        <f t="shared" si="21"/>
        <v>1</v>
      </c>
    </row>
    <row r="656" spans="65:66" x14ac:dyDescent="0.3">
      <c r="BM656" t="e">
        <f t="shared" si="22"/>
        <v>#N/A</v>
      </c>
      <c r="BN656" t="b">
        <f t="shared" si="21"/>
        <v>1</v>
      </c>
    </row>
    <row r="657" spans="65:66" x14ac:dyDescent="0.3">
      <c r="BM657" t="e">
        <f t="shared" si="22"/>
        <v>#N/A</v>
      </c>
      <c r="BN657" t="b">
        <f t="shared" si="21"/>
        <v>1</v>
      </c>
    </row>
    <row r="658" spans="65:66" x14ac:dyDescent="0.3">
      <c r="BM658" t="e">
        <f t="shared" si="22"/>
        <v>#N/A</v>
      </c>
      <c r="BN658" t="b">
        <f t="shared" si="21"/>
        <v>1</v>
      </c>
    </row>
    <row r="659" spans="65:66" x14ac:dyDescent="0.3">
      <c r="BM659" t="e">
        <f t="shared" si="22"/>
        <v>#N/A</v>
      </c>
      <c r="BN659" t="b">
        <f t="shared" si="21"/>
        <v>1</v>
      </c>
    </row>
    <row r="660" spans="65:66" x14ac:dyDescent="0.3">
      <c r="BM660" t="e">
        <f t="shared" si="22"/>
        <v>#N/A</v>
      </c>
      <c r="BN660" t="b">
        <f t="shared" si="21"/>
        <v>1</v>
      </c>
    </row>
    <row r="661" spans="65:66" x14ac:dyDescent="0.3">
      <c r="BM661" t="e">
        <f t="shared" si="22"/>
        <v>#N/A</v>
      </c>
      <c r="BN661" t="b">
        <f t="shared" si="21"/>
        <v>1</v>
      </c>
    </row>
    <row r="662" spans="65:66" x14ac:dyDescent="0.3">
      <c r="BM662" t="e">
        <f t="shared" si="22"/>
        <v>#N/A</v>
      </c>
      <c r="BN662" t="b">
        <f t="shared" si="21"/>
        <v>1</v>
      </c>
    </row>
    <row r="663" spans="65:66" x14ac:dyDescent="0.3">
      <c r="BM663" t="e">
        <f t="shared" si="22"/>
        <v>#N/A</v>
      </c>
      <c r="BN663" t="b">
        <f t="shared" si="21"/>
        <v>1</v>
      </c>
    </row>
    <row r="664" spans="65:66" x14ac:dyDescent="0.3">
      <c r="BM664" t="e">
        <f t="shared" si="22"/>
        <v>#N/A</v>
      </c>
      <c r="BN664" t="b">
        <f t="shared" si="21"/>
        <v>1</v>
      </c>
    </row>
    <row r="665" spans="65:66" x14ac:dyDescent="0.3">
      <c r="BM665" t="e">
        <f t="shared" si="22"/>
        <v>#N/A</v>
      </c>
      <c r="BN665" t="b">
        <f t="shared" si="21"/>
        <v>1</v>
      </c>
    </row>
    <row r="666" spans="65:66" x14ac:dyDescent="0.3">
      <c r="BM666" t="e">
        <f t="shared" si="22"/>
        <v>#N/A</v>
      </c>
      <c r="BN666" t="b">
        <f t="shared" si="21"/>
        <v>1</v>
      </c>
    </row>
    <row r="667" spans="65:66" x14ac:dyDescent="0.3">
      <c r="BM667" t="e">
        <f t="shared" si="22"/>
        <v>#N/A</v>
      </c>
      <c r="BN667" t="b">
        <f t="shared" si="21"/>
        <v>1</v>
      </c>
    </row>
    <row r="668" spans="65:66" x14ac:dyDescent="0.3">
      <c r="BM668" t="e">
        <f t="shared" si="22"/>
        <v>#N/A</v>
      </c>
      <c r="BN668" t="b">
        <f t="shared" si="21"/>
        <v>1</v>
      </c>
    </row>
    <row r="669" spans="65:66" x14ac:dyDescent="0.3">
      <c r="BM669" t="e">
        <f t="shared" si="22"/>
        <v>#N/A</v>
      </c>
      <c r="BN669" t="b">
        <f t="shared" si="21"/>
        <v>1</v>
      </c>
    </row>
    <row r="670" spans="65:66" x14ac:dyDescent="0.3">
      <c r="BM670" t="e">
        <f t="shared" si="22"/>
        <v>#N/A</v>
      </c>
      <c r="BN670" t="b">
        <f t="shared" si="21"/>
        <v>1</v>
      </c>
    </row>
    <row r="671" spans="65:66" x14ac:dyDescent="0.3">
      <c r="BM671" t="e">
        <f t="shared" si="22"/>
        <v>#N/A</v>
      </c>
      <c r="BN671" t="b">
        <f t="shared" si="21"/>
        <v>1</v>
      </c>
    </row>
    <row r="672" spans="65:66" x14ac:dyDescent="0.3">
      <c r="BM672" t="e">
        <f t="shared" si="22"/>
        <v>#N/A</v>
      </c>
      <c r="BN672" t="b">
        <f t="shared" si="21"/>
        <v>1</v>
      </c>
    </row>
    <row r="673" spans="65:66" x14ac:dyDescent="0.3">
      <c r="BM673" t="e">
        <f t="shared" si="22"/>
        <v>#N/A</v>
      </c>
      <c r="BN673" t="b">
        <f t="shared" si="21"/>
        <v>1</v>
      </c>
    </row>
    <row r="674" spans="65:66" x14ac:dyDescent="0.3">
      <c r="BM674" t="e">
        <f t="shared" si="22"/>
        <v>#N/A</v>
      </c>
      <c r="BN674" t="b">
        <f t="shared" si="21"/>
        <v>1</v>
      </c>
    </row>
    <row r="675" spans="65:66" x14ac:dyDescent="0.3">
      <c r="BM675" t="e">
        <f t="shared" si="22"/>
        <v>#N/A</v>
      </c>
      <c r="BN675" t="b">
        <f t="shared" si="21"/>
        <v>1</v>
      </c>
    </row>
    <row r="676" spans="65:66" x14ac:dyDescent="0.3">
      <c r="BM676" t="e">
        <f t="shared" si="22"/>
        <v>#N/A</v>
      </c>
      <c r="BN676" t="b">
        <f t="shared" si="21"/>
        <v>1</v>
      </c>
    </row>
    <row r="677" spans="65:66" x14ac:dyDescent="0.3">
      <c r="BM677" t="e">
        <f t="shared" si="22"/>
        <v>#N/A</v>
      </c>
      <c r="BN677" t="b">
        <f t="shared" si="21"/>
        <v>1</v>
      </c>
    </row>
    <row r="678" spans="65:66" x14ac:dyDescent="0.3">
      <c r="BM678" t="e">
        <f t="shared" si="22"/>
        <v>#N/A</v>
      </c>
      <c r="BN678" t="b">
        <f t="shared" si="21"/>
        <v>1</v>
      </c>
    </row>
    <row r="679" spans="65:66" x14ac:dyDescent="0.3">
      <c r="BM679" t="e">
        <f t="shared" si="22"/>
        <v>#N/A</v>
      </c>
      <c r="BN679" t="b">
        <f t="shared" si="21"/>
        <v>1</v>
      </c>
    </row>
    <row r="680" spans="65:66" x14ac:dyDescent="0.3">
      <c r="BM680" t="e">
        <f t="shared" si="22"/>
        <v>#N/A</v>
      </c>
      <c r="BN680" t="b">
        <f t="shared" si="21"/>
        <v>1</v>
      </c>
    </row>
    <row r="681" spans="65:66" x14ac:dyDescent="0.3">
      <c r="BM681" t="e">
        <f t="shared" si="22"/>
        <v>#N/A</v>
      </c>
      <c r="BN681" t="b">
        <f t="shared" si="21"/>
        <v>1</v>
      </c>
    </row>
    <row r="682" spans="65:66" x14ac:dyDescent="0.3">
      <c r="BM682" t="e">
        <f t="shared" si="22"/>
        <v>#N/A</v>
      </c>
      <c r="BN682" t="b">
        <f t="shared" si="21"/>
        <v>1</v>
      </c>
    </row>
    <row r="683" spans="65:66" x14ac:dyDescent="0.3">
      <c r="BM683" t="e">
        <f t="shared" si="22"/>
        <v>#N/A</v>
      </c>
      <c r="BN683" t="b">
        <f t="shared" si="21"/>
        <v>1</v>
      </c>
    </row>
    <row r="684" spans="65:66" x14ac:dyDescent="0.3">
      <c r="BM684" t="e">
        <f t="shared" si="22"/>
        <v>#N/A</v>
      </c>
      <c r="BN684" t="b">
        <f t="shared" si="21"/>
        <v>1</v>
      </c>
    </row>
    <row r="685" spans="65:66" x14ac:dyDescent="0.3">
      <c r="BM685" t="e">
        <f t="shared" si="22"/>
        <v>#N/A</v>
      </c>
      <c r="BN685" t="b">
        <f t="shared" si="21"/>
        <v>1</v>
      </c>
    </row>
    <row r="686" spans="65:66" x14ac:dyDescent="0.3">
      <c r="BM686" t="e">
        <f t="shared" si="22"/>
        <v>#N/A</v>
      </c>
      <c r="BN686" t="b">
        <f t="shared" si="21"/>
        <v>1</v>
      </c>
    </row>
    <row r="687" spans="65:66" x14ac:dyDescent="0.3">
      <c r="BM687" t="e">
        <f t="shared" si="22"/>
        <v>#N/A</v>
      </c>
      <c r="BN687" t="b">
        <f t="shared" si="21"/>
        <v>1</v>
      </c>
    </row>
    <row r="688" spans="65:66" x14ac:dyDescent="0.3">
      <c r="BM688" t="e">
        <f t="shared" si="22"/>
        <v>#N/A</v>
      </c>
      <c r="BN688" t="b">
        <f t="shared" si="21"/>
        <v>1</v>
      </c>
    </row>
    <row r="689" spans="65:66" x14ac:dyDescent="0.3">
      <c r="BM689" t="e">
        <f t="shared" si="22"/>
        <v>#N/A</v>
      </c>
      <c r="BN689" t="b">
        <f t="shared" si="21"/>
        <v>1</v>
      </c>
    </row>
    <row r="690" spans="65:66" x14ac:dyDescent="0.3">
      <c r="BM690" t="e">
        <f t="shared" si="22"/>
        <v>#N/A</v>
      </c>
      <c r="BN690" t="b">
        <f t="shared" si="21"/>
        <v>1</v>
      </c>
    </row>
    <row r="691" spans="65:66" x14ac:dyDescent="0.3">
      <c r="BM691" t="e">
        <f t="shared" si="22"/>
        <v>#N/A</v>
      </c>
      <c r="BN691" t="b">
        <f t="shared" si="21"/>
        <v>1</v>
      </c>
    </row>
    <row r="692" spans="65:66" x14ac:dyDescent="0.3">
      <c r="BM692" t="e">
        <f t="shared" si="22"/>
        <v>#N/A</v>
      </c>
      <c r="BN692" t="b">
        <f t="shared" si="21"/>
        <v>1</v>
      </c>
    </row>
    <row r="693" spans="65:66" x14ac:dyDescent="0.3">
      <c r="BM693" t="e">
        <f t="shared" si="22"/>
        <v>#N/A</v>
      </c>
      <c r="BN693" t="b">
        <f t="shared" si="21"/>
        <v>1</v>
      </c>
    </row>
    <row r="694" spans="65:66" x14ac:dyDescent="0.3">
      <c r="BM694" t="e">
        <f t="shared" si="22"/>
        <v>#N/A</v>
      </c>
      <c r="BN694" t="b">
        <f t="shared" si="21"/>
        <v>1</v>
      </c>
    </row>
    <row r="695" spans="65:66" x14ac:dyDescent="0.3">
      <c r="BM695" t="e">
        <f t="shared" si="22"/>
        <v>#N/A</v>
      </c>
      <c r="BN695" t="b">
        <f t="shared" si="21"/>
        <v>1</v>
      </c>
    </row>
    <row r="696" spans="65:66" x14ac:dyDescent="0.3">
      <c r="BM696" t="e">
        <f t="shared" si="22"/>
        <v>#N/A</v>
      </c>
      <c r="BN696" t="b">
        <f t="shared" si="21"/>
        <v>1</v>
      </c>
    </row>
    <row r="697" spans="65:66" x14ac:dyDescent="0.3">
      <c r="BM697" t="e">
        <f t="shared" si="22"/>
        <v>#N/A</v>
      </c>
      <c r="BN697" t="b">
        <f t="shared" si="21"/>
        <v>1</v>
      </c>
    </row>
    <row r="698" spans="65:66" x14ac:dyDescent="0.3">
      <c r="BM698" t="e">
        <f t="shared" si="22"/>
        <v>#N/A</v>
      </c>
      <c r="BN698" t="b">
        <f t="shared" si="21"/>
        <v>1</v>
      </c>
    </row>
    <row r="699" spans="65:66" x14ac:dyDescent="0.3">
      <c r="BM699" t="e">
        <f t="shared" si="22"/>
        <v>#N/A</v>
      </c>
      <c r="BN699" t="b">
        <f t="shared" si="21"/>
        <v>1</v>
      </c>
    </row>
    <row r="700" spans="65:66" x14ac:dyDescent="0.3">
      <c r="BM700" t="e">
        <f t="shared" si="22"/>
        <v>#N/A</v>
      </c>
      <c r="BN700" t="b">
        <f t="shared" si="21"/>
        <v>1</v>
      </c>
    </row>
    <row r="701" spans="65:66" x14ac:dyDescent="0.3">
      <c r="BM701" t="e">
        <f t="shared" si="22"/>
        <v>#N/A</v>
      </c>
      <c r="BN701" t="b">
        <f t="shared" si="21"/>
        <v>1</v>
      </c>
    </row>
    <row r="702" spans="65:66" x14ac:dyDescent="0.3">
      <c r="BM702" t="e">
        <f t="shared" si="22"/>
        <v>#N/A</v>
      </c>
      <c r="BN702" t="b">
        <f t="shared" si="21"/>
        <v>1</v>
      </c>
    </row>
    <row r="703" spans="65:66" x14ac:dyDescent="0.3">
      <c r="BM703" t="e">
        <f t="shared" si="22"/>
        <v>#N/A</v>
      </c>
      <c r="BN703" t="b">
        <f t="shared" si="21"/>
        <v>1</v>
      </c>
    </row>
    <row r="704" spans="65:66" x14ac:dyDescent="0.3">
      <c r="BM704" t="e">
        <f t="shared" si="22"/>
        <v>#N/A</v>
      </c>
      <c r="BN704" t="b">
        <f t="shared" si="21"/>
        <v>1</v>
      </c>
    </row>
    <row r="705" spans="65:66" x14ac:dyDescent="0.3">
      <c r="BM705" t="e">
        <f t="shared" si="22"/>
        <v>#N/A</v>
      </c>
      <c r="BN705" t="b">
        <f t="shared" si="21"/>
        <v>1</v>
      </c>
    </row>
    <row r="706" spans="65:66" x14ac:dyDescent="0.3">
      <c r="BM706" t="e">
        <f t="shared" si="22"/>
        <v>#N/A</v>
      </c>
      <c r="BN706" t="b">
        <f t="shared" si="21"/>
        <v>1</v>
      </c>
    </row>
    <row r="707" spans="65:66" x14ac:dyDescent="0.3">
      <c r="BM707" t="e">
        <f t="shared" si="22"/>
        <v>#N/A</v>
      </c>
      <c r="BN707" t="b">
        <f t="shared" ref="BN707:BN770" si="23">IF(OR(ISNA(BM707)=FALSE,ISNA(BM708)=FALSE),FALSE,TRUE)</f>
        <v>1</v>
      </c>
    </row>
    <row r="708" spans="65:66" x14ac:dyDescent="0.3">
      <c r="BM708" t="e">
        <f t="shared" si="22"/>
        <v>#N/A</v>
      </c>
      <c r="BN708" t="b">
        <f t="shared" si="23"/>
        <v>1</v>
      </c>
    </row>
    <row r="709" spans="65:66" x14ac:dyDescent="0.3">
      <c r="BM709" t="e">
        <f t="shared" si="22"/>
        <v>#N/A</v>
      </c>
      <c r="BN709" t="b">
        <f t="shared" si="23"/>
        <v>1</v>
      </c>
    </row>
    <row r="710" spans="65:66" x14ac:dyDescent="0.3">
      <c r="BM710" t="e">
        <f t="shared" ref="BM710:BM773" si="24">IF(OR(BL709="✔",BL710="✔"),#N/A,VLOOKUP(B709&amp;"*",B710,1,FALSE))</f>
        <v>#N/A</v>
      </c>
      <c r="BN710" t="b">
        <f t="shared" si="23"/>
        <v>1</v>
      </c>
    </row>
    <row r="711" spans="65:66" x14ac:dyDescent="0.3">
      <c r="BM711" t="e">
        <f t="shared" si="24"/>
        <v>#N/A</v>
      </c>
      <c r="BN711" t="b">
        <f t="shared" si="23"/>
        <v>1</v>
      </c>
    </row>
    <row r="712" spans="65:66" x14ac:dyDescent="0.3">
      <c r="BM712" t="e">
        <f t="shared" si="24"/>
        <v>#N/A</v>
      </c>
      <c r="BN712" t="b">
        <f t="shared" si="23"/>
        <v>1</v>
      </c>
    </row>
    <row r="713" spans="65:66" x14ac:dyDescent="0.3">
      <c r="BM713" t="e">
        <f t="shared" si="24"/>
        <v>#N/A</v>
      </c>
      <c r="BN713" t="b">
        <f t="shared" si="23"/>
        <v>1</v>
      </c>
    </row>
    <row r="714" spans="65:66" x14ac:dyDescent="0.3">
      <c r="BM714" t="e">
        <f t="shared" si="24"/>
        <v>#N/A</v>
      </c>
      <c r="BN714" t="b">
        <f t="shared" si="23"/>
        <v>1</v>
      </c>
    </row>
    <row r="715" spans="65:66" x14ac:dyDescent="0.3">
      <c r="BM715" t="e">
        <f t="shared" si="24"/>
        <v>#N/A</v>
      </c>
      <c r="BN715" t="b">
        <f t="shared" si="23"/>
        <v>1</v>
      </c>
    </row>
    <row r="716" spans="65:66" x14ac:dyDescent="0.3">
      <c r="BM716" t="e">
        <f t="shared" si="24"/>
        <v>#N/A</v>
      </c>
      <c r="BN716" t="b">
        <f t="shared" si="23"/>
        <v>1</v>
      </c>
    </row>
    <row r="717" spans="65:66" x14ac:dyDescent="0.3">
      <c r="BM717" t="e">
        <f t="shared" si="24"/>
        <v>#N/A</v>
      </c>
      <c r="BN717" t="b">
        <f t="shared" si="23"/>
        <v>1</v>
      </c>
    </row>
    <row r="718" spans="65:66" x14ac:dyDescent="0.3">
      <c r="BM718" t="e">
        <f t="shared" si="24"/>
        <v>#N/A</v>
      </c>
      <c r="BN718" t="b">
        <f t="shared" si="23"/>
        <v>1</v>
      </c>
    </row>
    <row r="719" spans="65:66" x14ac:dyDescent="0.3">
      <c r="BM719" t="e">
        <f t="shared" si="24"/>
        <v>#N/A</v>
      </c>
      <c r="BN719" t="b">
        <f t="shared" si="23"/>
        <v>1</v>
      </c>
    </row>
    <row r="720" spans="65:66" x14ac:dyDescent="0.3">
      <c r="BM720" t="e">
        <f t="shared" si="24"/>
        <v>#N/A</v>
      </c>
      <c r="BN720" t="b">
        <f t="shared" si="23"/>
        <v>1</v>
      </c>
    </row>
    <row r="721" spans="65:66" x14ac:dyDescent="0.3">
      <c r="BM721" t="e">
        <f t="shared" si="24"/>
        <v>#N/A</v>
      </c>
      <c r="BN721" t="b">
        <f t="shared" si="23"/>
        <v>1</v>
      </c>
    </row>
    <row r="722" spans="65:66" x14ac:dyDescent="0.3">
      <c r="BM722" t="e">
        <f t="shared" si="24"/>
        <v>#N/A</v>
      </c>
      <c r="BN722" t="b">
        <f t="shared" si="23"/>
        <v>1</v>
      </c>
    </row>
    <row r="723" spans="65:66" x14ac:dyDescent="0.3">
      <c r="BM723" t="e">
        <f t="shared" si="24"/>
        <v>#N/A</v>
      </c>
      <c r="BN723" t="b">
        <f t="shared" si="23"/>
        <v>1</v>
      </c>
    </row>
    <row r="724" spans="65:66" x14ac:dyDescent="0.3">
      <c r="BM724" t="e">
        <f t="shared" si="24"/>
        <v>#N/A</v>
      </c>
      <c r="BN724" t="b">
        <f t="shared" si="23"/>
        <v>1</v>
      </c>
    </row>
    <row r="725" spans="65:66" x14ac:dyDescent="0.3">
      <c r="BM725" t="e">
        <f t="shared" si="24"/>
        <v>#N/A</v>
      </c>
      <c r="BN725" t="b">
        <f t="shared" si="23"/>
        <v>1</v>
      </c>
    </row>
    <row r="726" spans="65:66" x14ac:dyDescent="0.3">
      <c r="BM726" t="e">
        <f t="shared" si="24"/>
        <v>#N/A</v>
      </c>
      <c r="BN726" t="b">
        <f t="shared" si="23"/>
        <v>1</v>
      </c>
    </row>
    <row r="727" spans="65:66" x14ac:dyDescent="0.3">
      <c r="BM727" t="e">
        <f t="shared" si="24"/>
        <v>#N/A</v>
      </c>
      <c r="BN727" t="b">
        <f t="shared" si="23"/>
        <v>1</v>
      </c>
    </row>
    <row r="728" spans="65:66" x14ac:dyDescent="0.3">
      <c r="BM728" t="e">
        <f t="shared" si="24"/>
        <v>#N/A</v>
      </c>
      <c r="BN728" t="b">
        <f t="shared" si="23"/>
        <v>1</v>
      </c>
    </row>
    <row r="729" spans="65:66" x14ac:dyDescent="0.3">
      <c r="BM729" t="e">
        <f t="shared" si="24"/>
        <v>#N/A</v>
      </c>
      <c r="BN729" t="b">
        <f t="shared" si="23"/>
        <v>1</v>
      </c>
    </row>
    <row r="730" spans="65:66" x14ac:dyDescent="0.3">
      <c r="BM730" t="e">
        <f t="shared" si="24"/>
        <v>#N/A</v>
      </c>
      <c r="BN730" t="b">
        <f t="shared" si="23"/>
        <v>1</v>
      </c>
    </row>
    <row r="731" spans="65:66" x14ac:dyDescent="0.3">
      <c r="BM731" t="e">
        <f t="shared" si="24"/>
        <v>#N/A</v>
      </c>
      <c r="BN731" t="b">
        <f t="shared" si="23"/>
        <v>1</v>
      </c>
    </row>
    <row r="732" spans="65:66" x14ac:dyDescent="0.3">
      <c r="BM732" t="e">
        <f t="shared" si="24"/>
        <v>#N/A</v>
      </c>
      <c r="BN732" t="b">
        <f t="shared" si="23"/>
        <v>1</v>
      </c>
    </row>
    <row r="733" spans="65:66" x14ac:dyDescent="0.3">
      <c r="BM733" t="e">
        <f t="shared" si="24"/>
        <v>#N/A</v>
      </c>
      <c r="BN733" t="b">
        <f t="shared" si="23"/>
        <v>1</v>
      </c>
    </row>
    <row r="734" spans="65:66" x14ac:dyDescent="0.3">
      <c r="BM734" t="e">
        <f t="shared" si="24"/>
        <v>#N/A</v>
      </c>
      <c r="BN734" t="b">
        <f t="shared" si="23"/>
        <v>1</v>
      </c>
    </row>
    <row r="735" spans="65:66" x14ac:dyDescent="0.3">
      <c r="BM735" t="e">
        <f t="shared" si="24"/>
        <v>#N/A</v>
      </c>
      <c r="BN735" t="b">
        <f t="shared" si="23"/>
        <v>1</v>
      </c>
    </row>
    <row r="736" spans="65:66" x14ac:dyDescent="0.3">
      <c r="BM736" t="e">
        <f t="shared" si="24"/>
        <v>#N/A</v>
      </c>
      <c r="BN736" t="b">
        <f t="shared" si="23"/>
        <v>1</v>
      </c>
    </row>
    <row r="737" spans="65:66" x14ac:dyDescent="0.3">
      <c r="BM737" t="e">
        <f t="shared" si="24"/>
        <v>#N/A</v>
      </c>
      <c r="BN737" t="b">
        <f t="shared" si="23"/>
        <v>1</v>
      </c>
    </row>
    <row r="738" spans="65:66" x14ac:dyDescent="0.3">
      <c r="BM738" t="e">
        <f t="shared" si="24"/>
        <v>#N/A</v>
      </c>
      <c r="BN738" t="b">
        <f t="shared" si="23"/>
        <v>1</v>
      </c>
    </row>
    <row r="739" spans="65:66" x14ac:dyDescent="0.3">
      <c r="BM739" t="e">
        <f t="shared" si="24"/>
        <v>#N/A</v>
      </c>
      <c r="BN739" t="b">
        <f t="shared" si="23"/>
        <v>1</v>
      </c>
    </row>
    <row r="740" spans="65:66" x14ac:dyDescent="0.3">
      <c r="BM740" t="e">
        <f t="shared" si="24"/>
        <v>#N/A</v>
      </c>
      <c r="BN740" t="b">
        <f t="shared" si="23"/>
        <v>1</v>
      </c>
    </row>
    <row r="741" spans="65:66" x14ac:dyDescent="0.3">
      <c r="BM741" t="e">
        <f t="shared" si="24"/>
        <v>#N/A</v>
      </c>
      <c r="BN741" t="b">
        <f t="shared" si="23"/>
        <v>1</v>
      </c>
    </row>
    <row r="742" spans="65:66" x14ac:dyDescent="0.3">
      <c r="BM742" t="e">
        <f t="shared" si="24"/>
        <v>#N/A</v>
      </c>
      <c r="BN742" t="b">
        <f t="shared" si="23"/>
        <v>1</v>
      </c>
    </row>
    <row r="743" spans="65:66" x14ac:dyDescent="0.3">
      <c r="BM743" t="e">
        <f t="shared" si="24"/>
        <v>#N/A</v>
      </c>
      <c r="BN743" t="b">
        <f t="shared" si="23"/>
        <v>1</v>
      </c>
    </row>
    <row r="744" spans="65:66" x14ac:dyDescent="0.3">
      <c r="BM744" t="e">
        <f t="shared" si="24"/>
        <v>#N/A</v>
      </c>
      <c r="BN744" t="b">
        <f t="shared" si="23"/>
        <v>1</v>
      </c>
    </row>
    <row r="745" spans="65:66" x14ac:dyDescent="0.3">
      <c r="BM745" t="e">
        <f t="shared" si="24"/>
        <v>#N/A</v>
      </c>
      <c r="BN745" t="b">
        <f t="shared" si="23"/>
        <v>1</v>
      </c>
    </row>
    <row r="746" spans="65:66" x14ac:dyDescent="0.3">
      <c r="BM746" t="e">
        <f t="shared" si="24"/>
        <v>#N/A</v>
      </c>
      <c r="BN746" t="b">
        <f t="shared" si="23"/>
        <v>1</v>
      </c>
    </row>
    <row r="747" spans="65:66" x14ac:dyDescent="0.3">
      <c r="BM747" t="e">
        <f t="shared" si="24"/>
        <v>#N/A</v>
      </c>
      <c r="BN747" t="b">
        <f t="shared" si="23"/>
        <v>1</v>
      </c>
    </row>
    <row r="748" spans="65:66" x14ac:dyDescent="0.3">
      <c r="BM748" t="e">
        <f t="shared" si="24"/>
        <v>#N/A</v>
      </c>
      <c r="BN748" t="b">
        <f t="shared" si="23"/>
        <v>1</v>
      </c>
    </row>
    <row r="749" spans="65:66" x14ac:dyDescent="0.3">
      <c r="BM749" t="e">
        <f t="shared" si="24"/>
        <v>#N/A</v>
      </c>
      <c r="BN749" t="b">
        <f t="shared" si="23"/>
        <v>1</v>
      </c>
    </row>
    <row r="750" spans="65:66" x14ac:dyDescent="0.3">
      <c r="BM750" t="e">
        <f t="shared" si="24"/>
        <v>#N/A</v>
      </c>
      <c r="BN750" t="b">
        <f t="shared" si="23"/>
        <v>1</v>
      </c>
    </row>
    <row r="751" spans="65:66" x14ac:dyDescent="0.3">
      <c r="BM751" t="e">
        <f t="shared" si="24"/>
        <v>#N/A</v>
      </c>
      <c r="BN751" t="b">
        <f t="shared" si="23"/>
        <v>1</v>
      </c>
    </row>
    <row r="752" spans="65:66" x14ac:dyDescent="0.3">
      <c r="BM752" t="e">
        <f t="shared" si="24"/>
        <v>#N/A</v>
      </c>
      <c r="BN752" t="b">
        <f t="shared" si="23"/>
        <v>1</v>
      </c>
    </row>
    <row r="753" spans="65:66" x14ac:dyDescent="0.3">
      <c r="BM753" t="e">
        <f t="shared" si="24"/>
        <v>#N/A</v>
      </c>
      <c r="BN753" t="b">
        <f t="shared" si="23"/>
        <v>1</v>
      </c>
    </row>
    <row r="754" spans="65:66" x14ac:dyDescent="0.3">
      <c r="BM754" t="e">
        <f t="shared" si="24"/>
        <v>#N/A</v>
      </c>
      <c r="BN754" t="b">
        <f t="shared" si="23"/>
        <v>1</v>
      </c>
    </row>
    <row r="755" spans="65:66" x14ac:dyDescent="0.3">
      <c r="BM755" t="e">
        <f t="shared" si="24"/>
        <v>#N/A</v>
      </c>
      <c r="BN755" t="b">
        <f t="shared" si="23"/>
        <v>1</v>
      </c>
    </row>
    <row r="756" spans="65:66" x14ac:dyDescent="0.3">
      <c r="BM756" t="e">
        <f t="shared" si="24"/>
        <v>#N/A</v>
      </c>
      <c r="BN756" t="b">
        <f t="shared" si="23"/>
        <v>1</v>
      </c>
    </row>
    <row r="757" spans="65:66" x14ac:dyDescent="0.3">
      <c r="BM757" t="e">
        <f t="shared" si="24"/>
        <v>#N/A</v>
      </c>
      <c r="BN757" t="b">
        <f t="shared" si="23"/>
        <v>1</v>
      </c>
    </row>
    <row r="758" spans="65:66" x14ac:dyDescent="0.3">
      <c r="BM758" t="e">
        <f t="shared" si="24"/>
        <v>#N/A</v>
      </c>
      <c r="BN758" t="b">
        <f t="shared" si="23"/>
        <v>1</v>
      </c>
    </row>
    <row r="759" spans="65:66" x14ac:dyDescent="0.3">
      <c r="BM759" t="e">
        <f t="shared" si="24"/>
        <v>#N/A</v>
      </c>
      <c r="BN759" t="b">
        <f t="shared" si="23"/>
        <v>1</v>
      </c>
    </row>
    <row r="760" spans="65:66" x14ac:dyDescent="0.3">
      <c r="BM760" t="e">
        <f t="shared" si="24"/>
        <v>#N/A</v>
      </c>
      <c r="BN760" t="b">
        <f t="shared" si="23"/>
        <v>1</v>
      </c>
    </row>
    <row r="761" spans="65:66" x14ac:dyDescent="0.3">
      <c r="BM761" t="e">
        <f t="shared" si="24"/>
        <v>#N/A</v>
      </c>
      <c r="BN761" t="b">
        <f t="shared" si="23"/>
        <v>1</v>
      </c>
    </row>
    <row r="762" spans="65:66" x14ac:dyDescent="0.3">
      <c r="BM762" t="e">
        <f t="shared" si="24"/>
        <v>#N/A</v>
      </c>
      <c r="BN762" t="b">
        <f t="shared" si="23"/>
        <v>1</v>
      </c>
    </row>
    <row r="763" spans="65:66" x14ac:dyDescent="0.3">
      <c r="BM763" t="e">
        <f t="shared" si="24"/>
        <v>#N/A</v>
      </c>
      <c r="BN763" t="b">
        <f t="shared" si="23"/>
        <v>1</v>
      </c>
    </row>
    <row r="764" spans="65:66" x14ac:dyDescent="0.3">
      <c r="BM764" t="e">
        <f t="shared" si="24"/>
        <v>#N/A</v>
      </c>
      <c r="BN764" t="b">
        <f t="shared" si="23"/>
        <v>1</v>
      </c>
    </row>
    <row r="765" spans="65:66" x14ac:dyDescent="0.3">
      <c r="BM765" t="e">
        <f t="shared" si="24"/>
        <v>#N/A</v>
      </c>
      <c r="BN765" t="b">
        <f t="shared" si="23"/>
        <v>1</v>
      </c>
    </row>
    <row r="766" spans="65:66" x14ac:dyDescent="0.3">
      <c r="BM766" t="e">
        <f t="shared" si="24"/>
        <v>#N/A</v>
      </c>
      <c r="BN766" t="b">
        <f t="shared" si="23"/>
        <v>1</v>
      </c>
    </row>
    <row r="767" spans="65:66" x14ac:dyDescent="0.3">
      <c r="BM767" t="e">
        <f t="shared" si="24"/>
        <v>#N/A</v>
      </c>
      <c r="BN767" t="b">
        <f t="shared" si="23"/>
        <v>1</v>
      </c>
    </row>
    <row r="768" spans="65:66" x14ac:dyDescent="0.3">
      <c r="BM768" t="e">
        <f t="shared" si="24"/>
        <v>#N/A</v>
      </c>
      <c r="BN768" t="b">
        <f t="shared" si="23"/>
        <v>1</v>
      </c>
    </row>
    <row r="769" spans="65:66" x14ac:dyDescent="0.3">
      <c r="BM769" t="e">
        <f t="shared" si="24"/>
        <v>#N/A</v>
      </c>
      <c r="BN769" t="b">
        <f t="shared" si="23"/>
        <v>1</v>
      </c>
    </row>
    <row r="770" spans="65:66" x14ac:dyDescent="0.3">
      <c r="BM770" t="e">
        <f t="shared" si="24"/>
        <v>#N/A</v>
      </c>
      <c r="BN770" t="b">
        <f t="shared" si="23"/>
        <v>1</v>
      </c>
    </row>
    <row r="771" spans="65:66" x14ac:dyDescent="0.3">
      <c r="BM771" t="e">
        <f t="shared" si="24"/>
        <v>#N/A</v>
      </c>
      <c r="BN771" t="b">
        <f t="shared" ref="BN771:BN834" si="25">IF(OR(ISNA(BM771)=FALSE,ISNA(BM772)=FALSE),FALSE,TRUE)</f>
        <v>1</v>
      </c>
    </row>
    <row r="772" spans="65:66" x14ac:dyDescent="0.3">
      <c r="BM772" t="e">
        <f t="shared" si="24"/>
        <v>#N/A</v>
      </c>
      <c r="BN772" t="b">
        <f t="shared" si="25"/>
        <v>1</v>
      </c>
    </row>
    <row r="773" spans="65:66" x14ac:dyDescent="0.3">
      <c r="BM773" t="e">
        <f t="shared" si="24"/>
        <v>#N/A</v>
      </c>
      <c r="BN773" t="b">
        <f t="shared" si="25"/>
        <v>1</v>
      </c>
    </row>
    <row r="774" spans="65:66" x14ac:dyDescent="0.3">
      <c r="BM774" t="e">
        <f t="shared" ref="BM774:BM837" si="26">IF(OR(BL773="✔",BL774="✔"),#N/A,VLOOKUP(B773&amp;"*",B774,1,FALSE))</f>
        <v>#N/A</v>
      </c>
      <c r="BN774" t="b">
        <f t="shared" si="25"/>
        <v>1</v>
      </c>
    </row>
    <row r="775" spans="65:66" x14ac:dyDescent="0.3">
      <c r="BM775" t="e">
        <f t="shared" si="26"/>
        <v>#N/A</v>
      </c>
      <c r="BN775" t="b">
        <f t="shared" si="25"/>
        <v>1</v>
      </c>
    </row>
    <row r="776" spans="65:66" x14ac:dyDescent="0.3">
      <c r="BM776" t="e">
        <f t="shared" si="26"/>
        <v>#N/A</v>
      </c>
      <c r="BN776" t="b">
        <f t="shared" si="25"/>
        <v>1</v>
      </c>
    </row>
    <row r="777" spans="65:66" x14ac:dyDescent="0.3">
      <c r="BM777" t="e">
        <f t="shared" si="26"/>
        <v>#N/A</v>
      </c>
      <c r="BN777" t="b">
        <f t="shared" si="25"/>
        <v>1</v>
      </c>
    </row>
    <row r="778" spans="65:66" x14ac:dyDescent="0.3">
      <c r="BM778" t="e">
        <f t="shared" si="26"/>
        <v>#N/A</v>
      </c>
      <c r="BN778" t="b">
        <f t="shared" si="25"/>
        <v>1</v>
      </c>
    </row>
    <row r="779" spans="65:66" x14ac:dyDescent="0.3">
      <c r="BM779" t="e">
        <f t="shared" si="26"/>
        <v>#N/A</v>
      </c>
      <c r="BN779" t="b">
        <f t="shared" si="25"/>
        <v>1</v>
      </c>
    </row>
    <row r="780" spans="65:66" x14ac:dyDescent="0.3">
      <c r="BM780" t="e">
        <f t="shared" si="26"/>
        <v>#N/A</v>
      </c>
      <c r="BN780" t="b">
        <f t="shared" si="25"/>
        <v>1</v>
      </c>
    </row>
    <row r="781" spans="65:66" x14ac:dyDescent="0.3">
      <c r="BM781" t="e">
        <f t="shared" si="26"/>
        <v>#N/A</v>
      </c>
      <c r="BN781" t="b">
        <f t="shared" si="25"/>
        <v>1</v>
      </c>
    </row>
    <row r="782" spans="65:66" x14ac:dyDescent="0.3">
      <c r="BM782" t="e">
        <f t="shared" si="26"/>
        <v>#N/A</v>
      </c>
      <c r="BN782" t="b">
        <f t="shared" si="25"/>
        <v>1</v>
      </c>
    </row>
    <row r="783" spans="65:66" x14ac:dyDescent="0.3">
      <c r="BM783" t="e">
        <f t="shared" si="26"/>
        <v>#N/A</v>
      </c>
      <c r="BN783" t="b">
        <f t="shared" si="25"/>
        <v>1</v>
      </c>
    </row>
    <row r="784" spans="65:66" x14ac:dyDescent="0.3">
      <c r="BM784" t="e">
        <f t="shared" si="26"/>
        <v>#N/A</v>
      </c>
      <c r="BN784" t="b">
        <f t="shared" si="25"/>
        <v>1</v>
      </c>
    </row>
    <row r="785" spans="65:66" x14ac:dyDescent="0.3">
      <c r="BM785" t="e">
        <f t="shared" si="26"/>
        <v>#N/A</v>
      </c>
      <c r="BN785" t="b">
        <f t="shared" si="25"/>
        <v>1</v>
      </c>
    </row>
    <row r="786" spans="65:66" x14ac:dyDescent="0.3">
      <c r="BM786" t="e">
        <f t="shared" si="26"/>
        <v>#N/A</v>
      </c>
      <c r="BN786" t="b">
        <f t="shared" si="25"/>
        <v>1</v>
      </c>
    </row>
    <row r="787" spans="65:66" x14ac:dyDescent="0.3">
      <c r="BM787" t="e">
        <f t="shared" si="26"/>
        <v>#N/A</v>
      </c>
      <c r="BN787" t="b">
        <f t="shared" si="25"/>
        <v>1</v>
      </c>
    </row>
    <row r="788" spans="65:66" x14ac:dyDescent="0.3">
      <c r="BM788" t="e">
        <f t="shared" si="26"/>
        <v>#N/A</v>
      </c>
      <c r="BN788" t="b">
        <f t="shared" si="25"/>
        <v>1</v>
      </c>
    </row>
    <row r="789" spans="65:66" x14ac:dyDescent="0.3">
      <c r="BM789" t="e">
        <f t="shared" si="26"/>
        <v>#N/A</v>
      </c>
      <c r="BN789" t="b">
        <f t="shared" si="25"/>
        <v>1</v>
      </c>
    </row>
    <row r="790" spans="65:66" x14ac:dyDescent="0.3">
      <c r="BM790" t="e">
        <f t="shared" si="26"/>
        <v>#N/A</v>
      </c>
      <c r="BN790" t="b">
        <f t="shared" si="25"/>
        <v>1</v>
      </c>
    </row>
    <row r="791" spans="65:66" x14ac:dyDescent="0.3">
      <c r="BM791" t="e">
        <f t="shared" si="26"/>
        <v>#N/A</v>
      </c>
      <c r="BN791" t="b">
        <f t="shared" si="25"/>
        <v>1</v>
      </c>
    </row>
    <row r="792" spans="65:66" x14ac:dyDescent="0.3">
      <c r="BM792" t="e">
        <f t="shared" si="26"/>
        <v>#N/A</v>
      </c>
      <c r="BN792" t="b">
        <f t="shared" si="25"/>
        <v>1</v>
      </c>
    </row>
    <row r="793" spans="65:66" x14ac:dyDescent="0.3">
      <c r="BM793" t="e">
        <f t="shared" si="26"/>
        <v>#N/A</v>
      </c>
      <c r="BN793" t="b">
        <f t="shared" si="25"/>
        <v>1</v>
      </c>
    </row>
    <row r="794" spans="65:66" x14ac:dyDescent="0.3">
      <c r="BM794" t="e">
        <f t="shared" si="26"/>
        <v>#N/A</v>
      </c>
      <c r="BN794" t="b">
        <f t="shared" si="25"/>
        <v>1</v>
      </c>
    </row>
    <row r="795" spans="65:66" x14ac:dyDescent="0.3">
      <c r="BM795" t="e">
        <f t="shared" si="26"/>
        <v>#N/A</v>
      </c>
      <c r="BN795" t="b">
        <f t="shared" si="25"/>
        <v>1</v>
      </c>
    </row>
    <row r="796" spans="65:66" x14ac:dyDescent="0.3">
      <c r="BM796" t="e">
        <f t="shared" si="26"/>
        <v>#N/A</v>
      </c>
      <c r="BN796" t="b">
        <f t="shared" si="25"/>
        <v>1</v>
      </c>
    </row>
    <row r="797" spans="65:66" x14ac:dyDescent="0.3">
      <c r="BM797" t="e">
        <f t="shared" si="26"/>
        <v>#N/A</v>
      </c>
      <c r="BN797" t="b">
        <f t="shared" si="25"/>
        <v>1</v>
      </c>
    </row>
    <row r="798" spans="65:66" x14ac:dyDescent="0.3">
      <c r="BM798" t="e">
        <f t="shared" si="26"/>
        <v>#N/A</v>
      </c>
      <c r="BN798" t="b">
        <f t="shared" si="25"/>
        <v>1</v>
      </c>
    </row>
    <row r="799" spans="65:66" x14ac:dyDescent="0.3">
      <c r="BM799" t="e">
        <f t="shared" si="26"/>
        <v>#N/A</v>
      </c>
      <c r="BN799" t="b">
        <f t="shared" si="25"/>
        <v>1</v>
      </c>
    </row>
    <row r="800" spans="65:66" x14ac:dyDescent="0.3">
      <c r="BM800" t="e">
        <f t="shared" si="26"/>
        <v>#N/A</v>
      </c>
      <c r="BN800" t="b">
        <f t="shared" si="25"/>
        <v>1</v>
      </c>
    </row>
    <row r="801" spans="65:66" x14ac:dyDescent="0.3">
      <c r="BM801" t="e">
        <f t="shared" si="26"/>
        <v>#N/A</v>
      </c>
      <c r="BN801" t="b">
        <f t="shared" si="25"/>
        <v>1</v>
      </c>
    </row>
    <row r="802" spans="65:66" x14ac:dyDescent="0.3">
      <c r="BM802" t="e">
        <f t="shared" si="26"/>
        <v>#N/A</v>
      </c>
      <c r="BN802" t="b">
        <f t="shared" si="25"/>
        <v>1</v>
      </c>
    </row>
    <row r="803" spans="65:66" x14ac:dyDescent="0.3">
      <c r="BM803" t="e">
        <f t="shared" si="26"/>
        <v>#N/A</v>
      </c>
      <c r="BN803" t="b">
        <f t="shared" si="25"/>
        <v>1</v>
      </c>
    </row>
    <row r="804" spans="65:66" x14ac:dyDescent="0.3">
      <c r="BM804" t="e">
        <f t="shared" si="26"/>
        <v>#N/A</v>
      </c>
      <c r="BN804" t="b">
        <f t="shared" si="25"/>
        <v>1</v>
      </c>
    </row>
    <row r="805" spans="65:66" x14ac:dyDescent="0.3">
      <c r="BM805" t="e">
        <f t="shared" si="26"/>
        <v>#N/A</v>
      </c>
      <c r="BN805" t="b">
        <f t="shared" si="25"/>
        <v>1</v>
      </c>
    </row>
    <row r="806" spans="65:66" x14ac:dyDescent="0.3">
      <c r="BM806" t="e">
        <f t="shared" si="26"/>
        <v>#N/A</v>
      </c>
      <c r="BN806" t="b">
        <f t="shared" si="25"/>
        <v>1</v>
      </c>
    </row>
    <row r="807" spans="65:66" x14ac:dyDescent="0.3">
      <c r="BM807" t="e">
        <f t="shared" si="26"/>
        <v>#N/A</v>
      </c>
      <c r="BN807" t="b">
        <f t="shared" si="25"/>
        <v>1</v>
      </c>
    </row>
    <row r="808" spans="65:66" x14ac:dyDescent="0.3">
      <c r="BM808" t="e">
        <f t="shared" si="26"/>
        <v>#N/A</v>
      </c>
      <c r="BN808" t="b">
        <f t="shared" si="25"/>
        <v>1</v>
      </c>
    </row>
    <row r="809" spans="65:66" x14ac:dyDescent="0.3">
      <c r="BM809" t="e">
        <f t="shared" si="26"/>
        <v>#N/A</v>
      </c>
      <c r="BN809" t="b">
        <f t="shared" si="25"/>
        <v>1</v>
      </c>
    </row>
    <row r="810" spans="65:66" x14ac:dyDescent="0.3">
      <c r="BM810" t="e">
        <f t="shared" si="26"/>
        <v>#N/A</v>
      </c>
      <c r="BN810" t="b">
        <f t="shared" si="25"/>
        <v>1</v>
      </c>
    </row>
    <row r="811" spans="65:66" x14ac:dyDescent="0.3">
      <c r="BM811" t="e">
        <f t="shared" si="26"/>
        <v>#N/A</v>
      </c>
      <c r="BN811" t="b">
        <f t="shared" si="25"/>
        <v>1</v>
      </c>
    </row>
    <row r="812" spans="65:66" x14ac:dyDescent="0.3">
      <c r="BM812" t="e">
        <f t="shared" si="26"/>
        <v>#N/A</v>
      </c>
      <c r="BN812" t="b">
        <f t="shared" si="25"/>
        <v>1</v>
      </c>
    </row>
    <row r="813" spans="65:66" x14ac:dyDescent="0.3">
      <c r="BM813" t="e">
        <f t="shared" si="26"/>
        <v>#N/A</v>
      </c>
      <c r="BN813" t="b">
        <f t="shared" si="25"/>
        <v>1</v>
      </c>
    </row>
    <row r="814" spans="65:66" x14ac:dyDescent="0.3">
      <c r="BM814" t="e">
        <f t="shared" si="26"/>
        <v>#N/A</v>
      </c>
      <c r="BN814" t="b">
        <f t="shared" si="25"/>
        <v>1</v>
      </c>
    </row>
    <row r="815" spans="65:66" x14ac:dyDescent="0.3">
      <c r="BM815" t="e">
        <f t="shared" si="26"/>
        <v>#N/A</v>
      </c>
      <c r="BN815" t="b">
        <f t="shared" si="25"/>
        <v>1</v>
      </c>
    </row>
    <row r="816" spans="65:66" x14ac:dyDescent="0.3">
      <c r="BM816" t="e">
        <f t="shared" si="26"/>
        <v>#N/A</v>
      </c>
      <c r="BN816" t="b">
        <f t="shared" si="25"/>
        <v>1</v>
      </c>
    </row>
    <row r="817" spans="65:66" x14ac:dyDescent="0.3">
      <c r="BM817" t="e">
        <f t="shared" si="26"/>
        <v>#N/A</v>
      </c>
      <c r="BN817" t="b">
        <f t="shared" si="25"/>
        <v>1</v>
      </c>
    </row>
    <row r="818" spans="65:66" x14ac:dyDescent="0.3">
      <c r="BM818" t="e">
        <f t="shared" si="26"/>
        <v>#N/A</v>
      </c>
      <c r="BN818" t="b">
        <f t="shared" si="25"/>
        <v>1</v>
      </c>
    </row>
    <row r="819" spans="65:66" x14ac:dyDescent="0.3">
      <c r="BM819" t="e">
        <f t="shared" si="26"/>
        <v>#N/A</v>
      </c>
      <c r="BN819" t="b">
        <f t="shared" si="25"/>
        <v>1</v>
      </c>
    </row>
    <row r="820" spans="65:66" x14ac:dyDescent="0.3">
      <c r="BM820" t="e">
        <f t="shared" si="26"/>
        <v>#N/A</v>
      </c>
      <c r="BN820" t="b">
        <f t="shared" si="25"/>
        <v>1</v>
      </c>
    </row>
    <row r="821" spans="65:66" x14ac:dyDescent="0.3">
      <c r="BM821" t="e">
        <f t="shared" si="26"/>
        <v>#N/A</v>
      </c>
      <c r="BN821" t="b">
        <f t="shared" si="25"/>
        <v>1</v>
      </c>
    </row>
    <row r="822" spans="65:66" x14ac:dyDescent="0.3">
      <c r="BM822" t="e">
        <f t="shared" si="26"/>
        <v>#N/A</v>
      </c>
      <c r="BN822" t="b">
        <f t="shared" si="25"/>
        <v>1</v>
      </c>
    </row>
    <row r="823" spans="65:66" x14ac:dyDescent="0.3">
      <c r="BM823" t="e">
        <f t="shared" si="26"/>
        <v>#N/A</v>
      </c>
      <c r="BN823" t="b">
        <f t="shared" si="25"/>
        <v>1</v>
      </c>
    </row>
    <row r="824" spans="65:66" x14ac:dyDescent="0.3">
      <c r="BM824" t="e">
        <f t="shared" si="26"/>
        <v>#N/A</v>
      </c>
      <c r="BN824" t="b">
        <f t="shared" si="25"/>
        <v>1</v>
      </c>
    </row>
    <row r="825" spans="65:66" x14ac:dyDescent="0.3">
      <c r="BM825" t="e">
        <f t="shared" si="26"/>
        <v>#N/A</v>
      </c>
      <c r="BN825" t="b">
        <f t="shared" si="25"/>
        <v>1</v>
      </c>
    </row>
    <row r="826" spans="65:66" x14ac:dyDescent="0.3">
      <c r="BM826" t="e">
        <f t="shared" si="26"/>
        <v>#N/A</v>
      </c>
      <c r="BN826" t="b">
        <f t="shared" si="25"/>
        <v>1</v>
      </c>
    </row>
    <row r="827" spans="65:66" x14ac:dyDescent="0.3">
      <c r="BM827" t="e">
        <f t="shared" si="26"/>
        <v>#N/A</v>
      </c>
      <c r="BN827" t="b">
        <f t="shared" si="25"/>
        <v>1</v>
      </c>
    </row>
    <row r="828" spans="65:66" x14ac:dyDescent="0.3">
      <c r="BM828" t="e">
        <f t="shared" si="26"/>
        <v>#N/A</v>
      </c>
      <c r="BN828" t="b">
        <f t="shared" si="25"/>
        <v>1</v>
      </c>
    </row>
    <row r="829" spans="65:66" x14ac:dyDescent="0.3">
      <c r="BM829" t="e">
        <f t="shared" si="26"/>
        <v>#N/A</v>
      </c>
      <c r="BN829" t="b">
        <f t="shared" si="25"/>
        <v>1</v>
      </c>
    </row>
    <row r="830" spans="65:66" x14ac:dyDescent="0.3">
      <c r="BM830" t="e">
        <f t="shared" si="26"/>
        <v>#N/A</v>
      </c>
      <c r="BN830" t="b">
        <f t="shared" si="25"/>
        <v>1</v>
      </c>
    </row>
    <row r="831" spans="65:66" x14ac:dyDescent="0.3">
      <c r="BM831" t="e">
        <f t="shared" si="26"/>
        <v>#N/A</v>
      </c>
      <c r="BN831" t="b">
        <f t="shared" si="25"/>
        <v>1</v>
      </c>
    </row>
    <row r="832" spans="65:66" x14ac:dyDescent="0.3">
      <c r="BM832" t="e">
        <f t="shared" si="26"/>
        <v>#N/A</v>
      </c>
      <c r="BN832" t="b">
        <f t="shared" si="25"/>
        <v>1</v>
      </c>
    </row>
    <row r="833" spans="65:66" x14ac:dyDescent="0.3">
      <c r="BM833" t="e">
        <f t="shared" si="26"/>
        <v>#N/A</v>
      </c>
      <c r="BN833" t="b">
        <f t="shared" si="25"/>
        <v>1</v>
      </c>
    </row>
    <row r="834" spans="65:66" x14ac:dyDescent="0.3">
      <c r="BM834" t="e">
        <f t="shared" si="26"/>
        <v>#N/A</v>
      </c>
      <c r="BN834" t="b">
        <f t="shared" si="25"/>
        <v>1</v>
      </c>
    </row>
    <row r="835" spans="65:66" x14ac:dyDescent="0.3">
      <c r="BM835" t="e">
        <f t="shared" si="26"/>
        <v>#N/A</v>
      </c>
      <c r="BN835" t="b">
        <f t="shared" ref="BN835:BN898" si="27">IF(OR(ISNA(BM835)=FALSE,ISNA(BM836)=FALSE),FALSE,TRUE)</f>
        <v>1</v>
      </c>
    </row>
    <row r="836" spans="65:66" x14ac:dyDescent="0.3">
      <c r="BM836" t="e">
        <f t="shared" si="26"/>
        <v>#N/A</v>
      </c>
      <c r="BN836" t="b">
        <f t="shared" si="27"/>
        <v>1</v>
      </c>
    </row>
    <row r="837" spans="65:66" x14ac:dyDescent="0.3">
      <c r="BM837" t="e">
        <f t="shared" si="26"/>
        <v>#N/A</v>
      </c>
      <c r="BN837" t="b">
        <f t="shared" si="27"/>
        <v>1</v>
      </c>
    </row>
    <row r="838" spans="65:66" x14ac:dyDescent="0.3">
      <c r="BM838" t="e">
        <f t="shared" ref="BM838:BM901" si="28">IF(OR(BL837="✔",BL838="✔"),#N/A,VLOOKUP(B837&amp;"*",B838,1,FALSE))</f>
        <v>#N/A</v>
      </c>
      <c r="BN838" t="b">
        <f t="shared" si="27"/>
        <v>1</v>
      </c>
    </row>
    <row r="839" spans="65:66" x14ac:dyDescent="0.3">
      <c r="BM839" t="e">
        <f t="shared" si="28"/>
        <v>#N/A</v>
      </c>
      <c r="BN839" t="b">
        <f t="shared" si="27"/>
        <v>1</v>
      </c>
    </row>
    <row r="840" spans="65:66" x14ac:dyDescent="0.3">
      <c r="BM840" t="e">
        <f t="shared" si="28"/>
        <v>#N/A</v>
      </c>
      <c r="BN840" t="b">
        <f t="shared" si="27"/>
        <v>1</v>
      </c>
    </row>
    <row r="841" spans="65:66" x14ac:dyDescent="0.3">
      <c r="BM841" t="e">
        <f t="shared" si="28"/>
        <v>#N/A</v>
      </c>
      <c r="BN841" t="b">
        <f t="shared" si="27"/>
        <v>1</v>
      </c>
    </row>
    <row r="842" spans="65:66" x14ac:dyDescent="0.3">
      <c r="BM842" t="e">
        <f t="shared" si="28"/>
        <v>#N/A</v>
      </c>
      <c r="BN842" t="b">
        <f t="shared" si="27"/>
        <v>1</v>
      </c>
    </row>
    <row r="843" spans="65:66" x14ac:dyDescent="0.3">
      <c r="BM843" t="e">
        <f t="shared" si="28"/>
        <v>#N/A</v>
      </c>
      <c r="BN843" t="b">
        <f t="shared" si="27"/>
        <v>1</v>
      </c>
    </row>
    <row r="844" spans="65:66" x14ac:dyDescent="0.3">
      <c r="BM844" t="e">
        <f t="shared" si="28"/>
        <v>#N/A</v>
      </c>
      <c r="BN844" t="b">
        <f t="shared" si="27"/>
        <v>1</v>
      </c>
    </row>
    <row r="845" spans="65:66" x14ac:dyDescent="0.3">
      <c r="BM845" t="e">
        <f t="shared" si="28"/>
        <v>#N/A</v>
      </c>
      <c r="BN845" t="b">
        <f t="shared" si="27"/>
        <v>1</v>
      </c>
    </row>
    <row r="846" spans="65:66" x14ac:dyDescent="0.3">
      <c r="BM846" t="e">
        <f t="shared" si="28"/>
        <v>#N/A</v>
      </c>
      <c r="BN846" t="b">
        <f t="shared" si="27"/>
        <v>1</v>
      </c>
    </row>
    <row r="847" spans="65:66" x14ac:dyDescent="0.3">
      <c r="BM847" t="e">
        <f t="shared" si="28"/>
        <v>#N/A</v>
      </c>
      <c r="BN847" t="b">
        <f t="shared" si="27"/>
        <v>1</v>
      </c>
    </row>
    <row r="848" spans="65:66" x14ac:dyDescent="0.3">
      <c r="BM848" t="e">
        <f t="shared" si="28"/>
        <v>#N/A</v>
      </c>
      <c r="BN848" t="b">
        <f t="shared" si="27"/>
        <v>1</v>
      </c>
    </row>
    <row r="849" spans="65:66" x14ac:dyDescent="0.3">
      <c r="BM849" t="e">
        <f t="shared" si="28"/>
        <v>#N/A</v>
      </c>
      <c r="BN849" t="b">
        <f t="shared" si="27"/>
        <v>1</v>
      </c>
    </row>
    <row r="850" spans="65:66" x14ac:dyDescent="0.3">
      <c r="BM850" t="e">
        <f t="shared" si="28"/>
        <v>#N/A</v>
      </c>
      <c r="BN850" t="b">
        <f t="shared" si="27"/>
        <v>1</v>
      </c>
    </row>
    <row r="851" spans="65:66" x14ac:dyDescent="0.3">
      <c r="BM851" t="e">
        <f t="shared" si="28"/>
        <v>#N/A</v>
      </c>
      <c r="BN851" t="b">
        <f t="shared" si="27"/>
        <v>1</v>
      </c>
    </row>
    <row r="852" spans="65:66" x14ac:dyDescent="0.3">
      <c r="BM852" t="e">
        <f t="shared" si="28"/>
        <v>#N/A</v>
      </c>
      <c r="BN852" t="b">
        <f t="shared" si="27"/>
        <v>1</v>
      </c>
    </row>
    <row r="853" spans="65:66" x14ac:dyDescent="0.3">
      <c r="BM853" t="e">
        <f t="shared" si="28"/>
        <v>#N/A</v>
      </c>
      <c r="BN853" t="b">
        <f t="shared" si="27"/>
        <v>1</v>
      </c>
    </row>
    <row r="854" spans="65:66" x14ac:dyDescent="0.3">
      <c r="BM854" t="e">
        <f t="shared" si="28"/>
        <v>#N/A</v>
      </c>
      <c r="BN854" t="b">
        <f t="shared" si="27"/>
        <v>1</v>
      </c>
    </row>
    <row r="855" spans="65:66" x14ac:dyDescent="0.3">
      <c r="BM855" t="e">
        <f t="shared" si="28"/>
        <v>#N/A</v>
      </c>
      <c r="BN855" t="b">
        <f t="shared" si="27"/>
        <v>1</v>
      </c>
    </row>
    <row r="856" spans="65:66" x14ac:dyDescent="0.3">
      <c r="BM856" t="e">
        <f t="shared" si="28"/>
        <v>#N/A</v>
      </c>
      <c r="BN856" t="b">
        <f t="shared" si="27"/>
        <v>1</v>
      </c>
    </row>
    <row r="857" spans="65:66" x14ac:dyDescent="0.3">
      <c r="BM857" t="e">
        <f t="shared" si="28"/>
        <v>#N/A</v>
      </c>
      <c r="BN857" t="b">
        <f t="shared" si="27"/>
        <v>1</v>
      </c>
    </row>
    <row r="858" spans="65:66" x14ac:dyDescent="0.3">
      <c r="BM858" t="e">
        <f t="shared" si="28"/>
        <v>#N/A</v>
      </c>
      <c r="BN858" t="b">
        <f t="shared" si="27"/>
        <v>1</v>
      </c>
    </row>
    <row r="859" spans="65:66" x14ac:dyDescent="0.3">
      <c r="BM859" t="e">
        <f t="shared" si="28"/>
        <v>#N/A</v>
      </c>
      <c r="BN859" t="b">
        <f t="shared" si="27"/>
        <v>1</v>
      </c>
    </row>
    <row r="860" spans="65:66" x14ac:dyDescent="0.3">
      <c r="BM860" t="e">
        <f t="shared" si="28"/>
        <v>#N/A</v>
      </c>
      <c r="BN860" t="b">
        <f t="shared" si="27"/>
        <v>1</v>
      </c>
    </row>
    <row r="861" spans="65:66" x14ac:dyDescent="0.3">
      <c r="BM861" t="e">
        <f t="shared" si="28"/>
        <v>#N/A</v>
      </c>
      <c r="BN861" t="b">
        <f t="shared" si="27"/>
        <v>1</v>
      </c>
    </row>
    <row r="862" spans="65:66" x14ac:dyDescent="0.3">
      <c r="BM862" t="e">
        <f t="shared" si="28"/>
        <v>#N/A</v>
      </c>
      <c r="BN862" t="b">
        <f t="shared" si="27"/>
        <v>1</v>
      </c>
    </row>
    <row r="863" spans="65:66" x14ac:dyDescent="0.3">
      <c r="BM863" t="e">
        <f t="shared" si="28"/>
        <v>#N/A</v>
      </c>
      <c r="BN863" t="b">
        <f t="shared" si="27"/>
        <v>1</v>
      </c>
    </row>
    <row r="864" spans="65:66" x14ac:dyDescent="0.3">
      <c r="BM864" t="e">
        <f t="shared" si="28"/>
        <v>#N/A</v>
      </c>
      <c r="BN864" t="b">
        <f t="shared" si="27"/>
        <v>1</v>
      </c>
    </row>
    <row r="865" spans="65:66" x14ac:dyDescent="0.3">
      <c r="BM865" t="e">
        <f t="shared" si="28"/>
        <v>#N/A</v>
      </c>
      <c r="BN865" t="b">
        <f t="shared" si="27"/>
        <v>1</v>
      </c>
    </row>
    <row r="866" spans="65:66" x14ac:dyDescent="0.3">
      <c r="BM866" t="e">
        <f t="shared" si="28"/>
        <v>#N/A</v>
      </c>
      <c r="BN866" t="b">
        <f t="shared" si="27"/>
        <v>1</v>
      </c>
    </row>
    <row r="867" spans="65:66" x14ac:dyDescent="0.3">
      <c r="BM867" t="e">
        <f t="shared" si="28"/>
        <v>#N/A</v>
      </c>
      <c r="BN867" t="b">
        <f t="shared" si="27"/>
        <v>1</v>
      </c>
    </row>
    <row r="868" spans="65:66" x14ac:dyDescent="0.3">
      <c r="BM868" t="e">
        <f t="shared" si="28"/>
        <v>#N/A</v>
      </c>
      <c r="BN868" t="b">
        <f t="shared" si="27"/>
        <v>1</v>
      </c>
    </row>
    <row r="869" spans="65:66" x14ac:dyDescent="0.3">
      <c r="BM869" t="e">
        <f t="shared" si="28"/>
        <v>#N/A</v>
      </c>
      <c r="BN869" t="b">
        <f t="shared" si="27"/>
        <v>1</v>
      </c>
    </row>
    <row r="870" spans="65:66" x14ac:dyDescent="0.3">
      <c r="BM870" t="e">
        <f t="shared" si="28"/>
        <v>#N/A</v>
      </c>
      <c r="BN870" t="b">
        <f t="shared" si="27"/>
        <v>1</v>
      </c>
    </row>
    <row r="871" spans="65:66" x14ac:dyDescent="0.3">
      <c r="BM871" t="e">
        <f t="shared" si="28"/>
        <v>#N/A</v>
      </c>
      <c r="BN871" t="b">
        <f t="shared" si="27"/>
        <v>1</v>
      </c>
    </row>
    <row r="872" spans="65:66" x14ac:dyDescent="0.3">
      <c r="BM872" t="e">
        <f t="shared" si="28"/>
        <v>#N/A</v>
      </c>
      <c r="BN872" t="b">
        <f t="shared" si="27"/>
        <v>1</v>
      </c>
    </row>
    <row r="873" spans="65:66" x14ac:dyDescent="0.3">
      <c r="BM873" t="e">
        <f t="shared" si="28"/>
        <v>#N/A</v>
      </c>
      <c r="BN873" t="b">
        <f t="shared" si="27"/>
        <v>1</v>
      </c>
    </row>
    <row r="874" spans="65:66" x14ac:dyDescent="0.3">
      <c r="BM874" t="e">
        <f t="shared" si="28"/>
        <v>#N/A</v>
      </c>
      <c r="BN874" t="b">
        <f t="shared" si="27"/>
        <v>1</v>
      </c>
    </row>
    <row r="875" spans="65:66" x14ac:dyDescent="0.3">
      <c r="BM875" t="e">
        <f t="shared" si="28"/>
        <v>#N/A</v>
      </c>
      <c r="BN875" t="b">
        <f t="shared" si="27"/>
        <v>1</v>
      </c>
    </row>
    <row r="876" spans="65:66" x14ac:dyDescent="0.3">
      <c r="BM876" t="e">
        <f t="shared" si="28"/>
        <v>#N/A</v>
      </c>
      <c r="BN876" t="b">
        <f t="shared" si="27"/>
        <v>1</v>
      </c>
    </row>
    <row r="877" spans="65:66" x14ac:dyDescent="0.3">
      <c r="BM877" t="e">
        <f t="shared" si="28"/>
        <v>#N/A</v>
      </c>
      <c r="BN877" t="b">
        <f t="shared" si="27"/>
        <v>1</v>
      </c>
    </row>
    <row r="878" spans="65:66" x14ac:dyDescent="0.3">
      <c r="BM878" t="e">
        <f t="shared" si="28"/>
        <v>#N/A</v>
      </c>
      <c r="BN878" t="b">
        <f t="shared" si="27"/>
        <v>1</v>
      </c>
    </row>
    <row r="879" spans="65:66" x14ac:dyDescent="0.3">
      <c r="BM879" t="e">
        <f t="shared" si="28"/>
        <v>#N/A</v>
      </c>
      <c r="BN879" t="b">
        <f t="shared" si="27"/>
        <v>1</v>
      </c>
    </row>
    <row r="880" spans="65:66" x14ac:dyDescent="0.3">
      <c r="BM880" t="e">
        <f t="shared" si="28"/>
        <v>#N/A</v>
      </c>
      <c r="BN880" t="b">
        <f t="shared" si="27"/>
        <v>1</v>
      </c>
    </row>
    <row r="881" spans="65:66" x14ac:dyDescent="0.3">
      <c r="BM881" t="e">
        <f t="shared" si="28"/>
        <v>#N/A</v>
      </c>
      <c r="BN881" t="b">
        <f t="shared" si="27"/>
        <v>1</v>
      </c>
    </row>
    <row r="882" spans="65:66" x14ac:dyDescent="0.3">
      <c r="BM882" t="e">
        <f t="shared" si="28"/>
        <v>#N/A</v>
      </c>
      <c r="BN882" t="b">
        <f t="shared" si="27"/>
        <v>1</v>
      </c>
    </row>
    <row r="883" spans="65:66" x14ac:dyDescent="0.3">
      <c r="BM883" t="e">
        <f t="shared" si="28"/>
        <v>#N/A</v>
      </c>
      <c r="BN883" t="b">
        <f t="shared" si="27"/>
        <v>1</v>
      </c>
    </row>
    <row r="884" spans="65:66" x14ac:dyDescent="0.3">
      <c r="BM884" t="e">
        <f t="shared" si="28"/>
        <v>#N/A</v>
      </c>
      <c r="BN884" t="b">
        <f t="shared" si="27"/>
        <v>1</v>
      </c>
    </row>
    <row r="885" spans="65:66" x14ac:dyDescent="0.3">
      <c r="BM885" t="e">
        <f t="shared" si="28"/>
        <v>#N/A</v>
      </c>
      <c r="BN885" t="b">
        <f t="shared" si="27"/>
        <v>1</v>
      </c>
    </row>
    <row r="886" spans="65:66" x14ac:dyDescent="0.3">
      <c r="BM886" t="e">
        <f t="shared" si="28"/>
        <v>#N/A</v>
      </c>
      <c r="BN886" t="b">
        <f t="shared" si="27"/>
        <v>1</v>
      </c>
    </row>
    <row r="887" spans="65:66" x14ac:dyDescent="0.3">
      <c r="BM887" t="e">
        <f t="shared" si="28"/>
        <v>#N/A</v>
      </c>
      <c r="BN887" t="b">
        <f t="shared" si="27"/>
        <v>1</v>
      </c>
    </row>
    <row r="888" spans="65:66" x14ac:dyDescent="0.3">
      <c r="BM888" t="e">
        <f t="shared" si="28"/>
        <v>#N/A</v>
      </c>
      <c r="BN888" t="b">
        <f t="shared" si="27"/>
        <v>1</v>
      </c>
    </row>
    <row r="889" spans="65:66" x14ac:dyDescent="0.3">
      <c r="BM889" t="e">
        <f t="shared" si="28"/>
        <v>#N/A</v>
      </c>
      <c r="BN889" t="b">
        <f t="shared" si="27"/>
        <v>1</v>
      </c>
    </row>
    <row r="890" spans="65:66" x14ac:dyDescent="0.3">
      <c r="BM890" t="e">
        <f t="shared" si="28"/>
        <v>#N/A</v>
      </c>
      <c r="BN890" t="b">
        <f t="shared" si="27"/>
        <v>1</v>
      </c>
    </row>
    <row r="891" spans="65:66" x14ac:dyDescent="0.3">
      <c r="BM891" t="e">
        <f t="shared" si="28"/>
        <v>#N/A</v>
      </c>
      <c r="BN891" t="b">
        <f t="shared" si="27"/>
        <v>1</v>
      </c>
    </row>
    <row r="892" spans="65:66" x14ac:dyDescent="0.3">
      <c r="BM892" t="e">
        <f t="shared" si="28"/>
        <v>#N/A</v>
      </c>
      <c r="BN892" t="b">
        <f t="shared" si="27"/>
        <v>1</v>
      </c>
    </row>
    <row r="893" spans="65:66" x14ac:dyDescent="0.3">
      <c r="BM893" t="e">
        <f t="shared" si="28"/>
        <v>#N/A</v>
      </c>
      <c r="BN893" t="b">
        <f t="shared" si="27"/>
        <v>1</v>
      </c>
    </row>
    <row r="894" spans="65:66" x14ac:dyDescent="0.3">
      <c r="BM894" t="e">
        <f t="shared" si="28"/>
        <v>#N/A</v>
      </c>
      <c r="BN894" t="b">
        <f t="shared" si="27"/>
        <v>1</v>
      </c>
    </row>
    <row r="895" spans="65:66" x14ac:dyDescent="0.3">
      <c r="BM895" t="e">
        <f t="shared" si="28"/>
        <v>#N/A</v>
      </c>
      <c r="BN895" t="b">
        <f t="shared" si="27"/>
        <v>1</v>
      </c>
    </row>
    <row r="896" spans="65:66" x14ac:dyDescent="0.3">
      <c r="BM896" t="e">
        <f t="shared" si="28"/>
        <v>#N/A</v>
      </c>
      <c r="BN896" t="b">
        <f t="shared" si="27"/>
        <v>1</v>
      </c>
    </row>
    <row r="897" spans="65:66" x14ac:dyDescent="0.3">
      <c r="BM897" t="e">
        <f t="shared" si="28"/>
        <v>#N/A</v>
      </c>
      <c r="BN897" t="b">
        <f t="shared" si="27"/>
        <v>1</v>
      </c>
    </row>
    <row r="898" spans="65:66" x14ac:dyDescent="0.3">
      <c r="BM898" t="e">
        <f t="shared" si="28"/>
        <v>#N/A</v>
      </c>
      <c r="BN898" t="b">
        <f t="shared" si="27"/>
        <v>1</v>
      </c>
    </row>
    <row r="899" spans="65:66" x14ac:dyDescent="0.3">
      <c r="BM899" t="e">
        <f t="shared" si="28"/>
        <v>#N/A</v>
      </c>
      <c r="BN899" t="b">
        <f t="shared" ref="BN899:BN962" si="29">IF(OR(ISNA(BM899)=FALSE,ISNA(BM900)=FALSE),FALSE,TRUE)</f>
        <v>1</v>
      </c>
    </row>
    <row r="900" spans="65:66" x14ac:dyDescent="0.3">
      <c r="BM900" t="e">
        <f t="shared" si="28"/>
        <v>#N/A</v>
      </c>
      <c r="BN900" t="b">
        <f t="shared" si="29"/>
        <v>1</v>
      </c>
    </row>
    <row r="901" spans="65:66" x14ac:dyDescent="0.3">
      <c r="BM901" t="e">
        <f t="shared" si="28"/>
        <v>#N/A</v>
      </c>
      <c r="BN901" t="b">
        <f t="shared" si="29"/>
        <v>1</v>
      </c>
    </row>
    <row r="902" spans="65:66" x14ac:dyDescent="0.3">
      <c r="BM902" t="e">
        <f t="shared" ref="BM902:BM965" si="30">IF(OR(BL901="✔",BL902="✔"),#N/A,VLOOKUP(B901&amp;"*",B902,1,FALSE))</f>
        <v>#N/A</v>
      </c>
      <c r="BN902" t="b">
        <f t="shared" si="29"/>
        <v>1</v>
      </c>
    </row>
    <row r="903" spans="65:66" x14ac:dyDescent="0.3">
      <c r="BM903" t="e">
        <f t="shared" si="30"/>
        <v>#N/A</v>
      </c>
      <c r="BN903" t="b">
        <f t="shared" si="29"/>
        <v>1</v>
      </c>
    </row>
    <row r="904" spans="65:66" x14ac:dyDescent="0.3">
      <c r="BM904" t="e">
        <f t="shared" si="30"/>
        <v>#N/A</v>
      </c>
      <c r="BN904" t="b">
        <f t="shared" si="29"/>
        <v>1</v>
      </c>
    </row>
    <row r="905" spans="65:66" x14ac:dyDescent="0.3">
      <c r="BM905" t="e">
        <f t="shared" si="30"/>
        <v>#N/A</v>
      </c>
      <c r="BN905" t="b">
        <f t="shared" si="29"/>
        <v>1</v>
      </c>
    </row>
    <row r="906" spans="65:66" x14ac:dyDescent="0.3">
      <c r="BM906" t="e">
        <f t="shared" si="30"/>
        <v>#N/A</v>
      </c>
      <c r="BN906" t="b">
        <f t="shared" si="29"/>
        <v>1</v>
      </c>
    </row>
    <row r="907" spans="65:66" x14ac:dyDescent="0.3">
      <c r="BM907" t="e">
        <f t="shared" si="30"/>
        <v>#N/A</v>
      </c>
      <c r="BN907" t="b">
        <f t="shared" si="29"/>
        <v>1</v>
      </c>
    </row>
    <row r="908" spans="65:66" x14ac:dyDescent="0.3">
      <c r="BM908" t="e">
        <f t="shared" si="30"/>
        <v>#N/A</v>
      </c>
      <c r="BN908" t="b">
        <f t="shared" si="29"/>
        <v>1</v>
      </c>
    </row>
    <row r="909" spans="65:66" x14ac:dyDescent="0.3">
      <c r="BM909" t="e">
        <f t="shared" si="30"/>
        <v>#N/A</v>
      </c>
      <c r="BN909" t="b">
        <f t="shared" si="29"/>
        <v>1</v>
      </c>
    </row>
    <row r="910" spans="65:66" x14ac:dyDescent="0.3">
      <c r="BM910" t="e">
        <f t="shared" si="30"/>
        <v>#N/A</v>
      </c>
      <c r="BN910" t="b">
        <f t="shared" si="29"/>
        <v>1</v>
      </c>
    </row>
    <row r="911" spans="65:66" x14ac:dyDescent="0.3">
      <c r="BM911" t="e">
        <f t="shared" si="30"/>
        <v>#N/A</v>
      </c>
      <c r="BN911" t="b">
        <f t="shared" si="29"/>
        <v>1</v>
      </c>
    </row>
    <row r="912" spans="65:66" x14ac:dyDescent="0.3">
      <c r="BM912" t="e">
        <f t="shared" si="30"/>
        <v>#N/A</v>
      </c>
      <c r="BN912" t="b">
        <f t="shared" si="29"/>
        <v>1</v>
      </c>
    </row>
    <row r="913" spans="65:66" x14ac:dyDescent="0.3">
      <c r="BM913" t="e">
        <f t="shared" si="30"/>
        <v>#N/A</v>
      </c>
      <c r="BN913" t="b">
        <f t="shared" si="29"/>
        <v>1</v>
      </c>
    </row>
    <row r="914" spans="65:66" x14ac:dyDescent="0.3">
      <c r="BM914" t="e">
        <f t="shared" si="30"/>
        <v>#N/A</v>
      </c>
      <c r="BN914" t="b">
        <f t="shared" si="29"/>
        <v>1</v>
      </c>
    </row>
    <row r="915" spans="65:66" x14ac:dyDescent="0.3">
      <c r="BM915" t="e">
        <f t="shared" si="30"/>
        <v>#N/A</v>
      </c>
      <c r="BN915" t="b">
        <f t="shared" si="29"/>
        <v>1</v>
      </c>
    </row>
    <row r="916" spans="65:66" x14ac:dyDescent="0.3">
      <c r="BM916" t="e">
        <f t="shared" si="30"/>
        <v>#N/A</v>
      </c>
      <c r="BN916" t="b">
        <f t="shared" si="29"/>
        <v>1</v>
      </c>
    </row>
    <row r="917" spans="65:66" x14ac:dyDescent="0.3">
      <c r="BM917" t="e">
        <f t="shared" si="30"/>
        <v>#N/A</v>
      </c>
      <c r="BN917" t="b">
        <f t="shared" si="29"/>
        <v>1</v>
      </c>
    </row>
    <row r="918" spans="65:66" x14ac:dyDescent="0.3">
      <c r="BM918" t="e">
        <f t="shared" si="30"/>
        <v>#N/A</v>
      </c>
      <c r="BN918" t="b">
        <f t="shared" si="29"/>
        <v>1</v>
      </c>
    </row>
    <row r="919" spans="65:66" x14ac:dyDescent="0.3">
      <c r="BM919" t="e">
        <f t="shared" si="30"/>
        <v>#N/A</v>
      </c>
      <c r="BN919" t="b">
        <f t="shared" si="29"/>
        <v>1</v>
      </c>
    </row>
    <row r="920" spans="65:66" x14ac:dyDescent="0.3">
      <c r="BM920" t="e">
        <f t="shared" si="30"/>
        <v>#N/A</v>
      </c>
      <c r="BN920" t="b">
        <f t="shared" si="29"/>
        <v>1</v>
      </c>
    </row>
    <row r="921" spans="65:66" x14ac:dyDescent="0.3">
      <c r="BM921" t="e">
        <f t="shared" si="30"/>
        <v>#N/A</v>
      </c>
      <c r="BN921" t="b">
        <f t="shared" si="29"/>
        <v>1</v>
      </c>
    </row>
    <row r="922" spans="65:66" x14ac:dyDescent="0.3">
      <c r="BM922" t="e">
        <f t="shared" si="30"/>
        <v>#N/A</v>
      </c>
      <c r="BN922" t="b">
        <f t="shared" si="29"/>
        <v>1</v>
      </c>
    </row>
    <row r="923" spans="65:66" x14ac:dyDescent="0.3">
      <c r="BM923" t="e">
        <f t="shared" si="30"/>
        <v>#N/A</v>
      </c>
      <c r="BN923" t="b">
        <f t="shared" si="29"/>
        <v>1</v>
      </c>
    </row>
    <row r="924" spans="65:66" x14ac:dyDescent="0.3">
      <c r="BM924" t="e">
        <f t="shared" si="30"/>
        <v>#N/A</v>
      </c>
      <c r="BN924" t="b">
        <f t="shared" si="29"/>
        <v>1</v>
      </c>
    </row>
    <row r="925" spans="65:66" x14ac:dyDescent="0.3">
      <c r="BM925" t="e">
        <f t="shared" si="30"/>
        <v>#N/A</v>
      </c>
      <c r="BN925" t="b">
        <f t="shared" si="29"/>
        <v>1</v>
      </c>
    </row>
    <row r="926" spans="65:66" x14ac:dyDescent="0.3">
      <c r="BM926" t="e">
        <f t="shared" si="30"/>
        <v>#N/A</v>
      </c>
      <c r="BN926" t="b">
        <f t="shared" si="29"/>
        <v>1</v>
      </c>
    </row>
    <row r="927" spans="65:66" x14ac:dyDescent="0.3">
      <c r="BM927" t="e">
        <f t="shared" si="30"/>
        <v>#N/A</v>
      </c>
      <c r="BN927" t="b">
        <f t="shared" si="29"/>
        <v>1</v>
      </c>
    </row>
    <row r="928" spans="65:66" x14ac:dyDescent="0.3">
      <c r="BM928" t="e">
        <f t="shared" si="30"/>
        <v>#N/A</v>
      </c>
      <c r="BN928" t="b">
        <f t="shared" si="29"/>
        <v>1</v>
      </c>
    </row>
    <row r="929" spans="65:66" x14ac:dyDescent="0.3">
      <c r="BM929" t="e">
        <f t="shared" si="30"/>
        <v>#N/A</v>
      </c>
      <c r="BN929" t="b">
        <f t="shared" si="29"/>
        <v>1</v>
      </c>
    </row>
    <row r="930" spans="65:66" x14ac:dyDescent="0.3">
      <c r="BM930" t="e">
        <f t="shared" si="30"/>
        <v>#N/A</v>
      </c>
      <c r="BN930" t="b">
        <f t="shared" si="29"/>
        <v>1</v>
      </c>
    </row>
    <row r="931" spans="65:66" x14ac:dyDescent="0.3">
      <c r="BM931" t="e">
        <f t="shared" si="30"/>
        <v>#N/A</v>
      </c>
      <c r="BN931" t="b">
        <f t="shared" si="29"/>
        <v>1</v>
      </c>
    </row>
    <row r="932" spans="65:66" x14ac:dyDescent="0.3">
      <c r="BM932" t="e">
        <f t="shared" si="30"/>
        <v>#N/A</v>
      </c>
      <c r="BN932" t="b">
        <f t="shared" si="29"/>
        <v>1</v>
      </c>
    </row>
    <row r="933" spans="65:66" x14ac:dyDescent="0.3">
      <c r="BM933" t="e">
        <f t="shared" si="30"/>
        <v>#N/A</v>
      </c>
      <c r="BN933" t="b">
        <f t="shared" si="29"/>
        <v>1</v>
      </c>
    </row>
    <row r="934" spans="65:66" x14ac:dyDescent="0.3">
      <c r="BM934" t="e">
        <f t="shared" si="30"/>
        <v>#N/A</v>
      </c>
      <c r="BN934" t="b">
        <f t="shared" si="29"/>
        <v>1</v>
      </c>
    </row>
    <row r="935" spans="65:66" x14ac:dyDescent="0.3">
      <c r="BM935" t="e">
        <f t="shared" si="30"/>
        <v>#N/A</v>
      </c>
      <c r="BN935" t="b">
        <f t="shared" si="29"/>
        <v>1</v>
      </c>
    </row>
    <row r="936" spans="65:66" x14ac:dyDescent="0.3">
      <c r="BM936" t="e">
        <f t="shared" si="30"/>
        <v>#N/A</v>
      </c>
      <c r="BN936" t="b">
        <f t="shared" si="29"/>
        <v>1</v>
      </c>
    </row>
    <row r="937" spans="65:66" x14ac:dyDescent="0.3">
      <c r="BM937" t="e">
        <f t="shared" si="30"/>
        <v>#N/A</v>
      </c>
      <c r="BN937" t="b">
        <f t="shared" si="29"/>
        <v>1</v>
      </c>
    </row>
    <row r="938" spans="65:66" x14ac:dyDescent="0.3">
      <c r="BM938" t="e">
        <f t="shared" si="30"/>
        <v>#N/A</v>
      </c>
      <c r="BN938" t="b">
        <f t="shared" si="29"/>
        <v>1</v>
      </c>
    </row>
    <row r="939" spans="65:66" x14ac:dyDescent="0.3">
      <c r="BM939" t="e">
        <f t="shared" si="30"/>
        <v>#N/A</v>
      </c>
      <c r="BN939" t="b">
        <f t="shared" si="29"/>
        <v>1</v>
      </c>
    </row>
    <row r="940" spans="65:66" x14ac:dyDescent="0.3">
      <c r="BM940" t="e">
        <f t="shared" si="30"/>
        <v>#N/A</v>
      </c>
      <c r="BN940" t="b">
        <f t="shared" si="29"/>
        <v>1</v>
      </c>
    </row>
    <row r="941" spans="65:66" x14ac:dyDescent="0.3">
      <c r="BM941" t="e">
        <f t="shared" si="30"/>
        <v>#N/A</v>
      </c>
      <c r="BN941" t="b">
        <f t="shared" si="29"/>
        <v>1</v>
      </c>
    </row>
    <row r="942" spans="65:66" x14ac:dyDescent="0.3">
      <c r="BM942" t="e">
        <f t="shared" si="30"/>
        <v>#N/A</v>
      </c>
      <c r="BN942" t="b">
        <f t="shared" si="29"/>
        <v>1</v>
      </c>
    </row>
    <row r="943" spans="65:66" x14ac:dyDescent="0.3">
      <c r="BM943" t="e">
        <f t="shared" si="30"/>
        <v>#N/A</v>
      </c>
      <c r="BN943" t="b">
        <f t="shared" si="29"/>
        <v>1</v>
      </c>
    </row>
    <row r="944" spans="65:66" x14ac:dyDescent="0.3">
      <c r="BM944" t="e">
        <f t="shared" si="30"/>
        <v>#N/A</v>
      </c>
      <c r="BN944" t="b">
        <f t="shared" si="29"/>
        <v>1</v>
      </c>
    </row>
    <row r="945" spans="65:66" x14ac:dyDescent="0.3">
      <c r="BM945" t="e">
        <f t="shared" si="30"/>
        <v>#N/A</v>
      </c>
      <c r="BN945" t="b">
        <f t="shared" si="29"/>
        <v>1</v>
      </c>
    </row>
    <row r="946" spans="65:66" x14ac:dyDescent="0.3">
      <c r="BM946" t="e">
        <f t="shared" si="30"/>
        <v>#N/A</v>
      </c>
      <c r="BN946" t="b">
        <f t="shared" si="29"/>
        <v>1</v>
      </c>
    </row>
    <row r="947" spans="65:66" x14ac:dyDescent="0.3">
      <c r="BM947" t="e">
        <f t="shared" si="30"/>
        <v>#N/A</v>
      </c>
      <c r="BN947" t="b">
        <f t="shared" si="29"/>
        <v>1</v>
      </c>
    </row>
    <row r="948" spans="65:66" x14ac:dyDescent="0.3">
      <c r="BM948" t="e">
        <f t="shared" si="30"/>
        <v>#N/A</v>
      </c>
      <c r="BN948" t="b">
        <f t="shared" si="29"/>
        <v>1</v>
      </c>
    </row>
    <row r="949" spans="65:66" x14ac:dyDescent="0.3">
      <c r="BM949" t="e">
        <f t="shared" si="30"/>
        <v>#N/A</v>
      </c>
      <c r="BN949" t="b">
        <f t="shared" si="29"/>
        <v>1</v>
      </c>
    </row>
    <row r="950" spans="65:66" x14ac:dyDescent="0.3">
      <c r="BM950" t="e">
        <f t="shared" si="30"/>
        <v>#N/A</v>
      </c>
      <c r="BN950" t="b">
        <f t="shared" si="29"/>
        <v>1</v>
      </c>
    </row>
    <row r="951" spans="65:66" x14ac:dyDescent="0.3">
      <c r="BM951" t="e">
        <f t="shared" si="30"/>
        <v>#N/A</v>
      </c>
      <c r="BN951" t="b">
        <f t="shared" si="29"/>
        <v>1</v>
      </c>
    </row>
    <row r="952" spans="65:66" x14ac:dyDescent="0.3">
      <c r="BM952" t="e">
        <f t="shared" si="30"/>
        <v>#N/A</v>
      </c>
      <c r="BN952" t="b">
        <f t="shared" si="29"/>
        <v>1</v>
      </c>
    </row>
    <row r="953" spans="65:66" x14ac:dyDescent="0.3">
      <c r="BM953" t="e">
        <f t="shared" si="30"/>
        <v>#N/A</v>
      </c>
      <c r="BN953" t="b">
        <f t="shared" si="29"/>
        <v>1</v>
      </c>
    </row>
    <row r="954" spans="65:66" x14ac:dyDescent="0.3">
      <c r="BM954" t="e">
        <f t="shared" si="30"/>
        <v>#N/A</v>
      </c>
      <c r="BN954" t="b">
        <f t="shared" si="29"/>
        <v>1</v>
      </c>
    </row>
    <row r="955" spans="65:66" x14ac:dyDescent="0.3">
      <c r="BM955" t="e">
        <f t="shared" si="30"/>
        <v>#N/A</v>
      </c>
      <c r="BN955" t="b">
        <f t="shared" si="29"/>
        <v>1</v>
      </c>
    </row>
    <row r="956" spans="65:66" x14ac:dyDescent="0.3">
      <c r="BM956" t="e">
        <f t="shared" si="30"/>
        <v>#N/A</v>
      </c>
      <c r="BN956" t="b">
        <f t="shared" si="29"/>
        <v>1</v>
      </c>
    </row>
    <row r="957" spans="65:66" x14ac:dyDescent="0.3">
      <c r="BM957" t="e">
        <f t="shared" si="30"/>
        <v>#N/A</v>
      </c>
      <c r="BN957" t="b">
        <f t="shared" si="29"/>
        <v>1</v>
      </c>
    </row>
    <row r="958" spans="65:66" x14ac:dyDescent="0.3">
      <c r="BM958" t="e">
        <f t="shared" si="30"/>
        <v>#N/A</v>
      </c>
      <c r="BN958" t="b">
        <f t="shared" si="29"/>
        <v>1</v>
      </c>
    </row>
    <row r="959" spans="65:66" x14ac:dyDescent="0.3">
      <c r="BM959" t="e">
        <f t="shared" si="30"/>
        <v>#N/A</v>
      </c>
      <c r="BN959" t="b">
        <f t="shared" si="29"/>
        <v>1</v>
      </c>
    </row>
    <row r="960" spans="65:66" x14ac:dyDescent="0.3">
      <c r="BM960" t="e">
        <f t="shared" si="30"/>
        <v>#N/A</v>
      </c>
      <c r="BN960" t="b">
        <f t="shared" si="29"/>
        <v>1</v>
      </c>
    </row>
    <row r="961" spans="65:66" x14ac:dyDescent="0.3">
      <c r="BM961" t="e">
        <f t="shared" si="30"/>
        <v>#N/A</v>
      </c>
      <c r="BN961" t="b">
        <f t="shared" si="29"/>
        <v>1</v>
      </c>
    </row>
    <row r="962" spans="65:66" x14ac:dyDescent="0.3">
      <c r="BM962" t="e">
        <f t="shared" si="30"/>
        <v>#N/A</v>
      </c>
      <c r="BN962" t="b">
        <f t="shared" si="29"/>
        <v>1</v>
      </c>
    </row>
    <row r="963" spans="65:66" x14ac:dyDescent="0.3">
      <c r="BM963" t="e">
        <f t="shared" si="30"/>
        <v>#N/A</v>
      </c>
      <c r="BN963" t="b">
        <f t="shared" ref="BN963:BN1026" si="31">IF(OR(ISNA(BM963)=FALSE,ISNA(BM964)=FALSE),FALSE,TRUE)</f>
        <v>1</v>
      </c>
    </row>
    <row r="964" spans="65:66" x14ac:dyDescent="0.3">
      <c r="BM964" t="e">
        <f t="shared" si="30"/>
        <v>#N/A</v>
      </c>
      <c r="BN964" t="b">
        <f t="shared" si="31"/>
        <v>1</v>
      </c>
    </row>
    <row r="965" spans="65:66" x14ac:dyDescent="0.3">
      <c r="BM965" t="e">
        <f t="shared" si="30"/>
        <v>#N/A</v>
      </c>
      <c r="BN965" t="b">
        <f t="shared" si="31"/>
        <v>1</v>
      </c>
    </row>
    <row r="966" spans="65:66" x14ac:dyDescent="0.3">
      <c r="BM966" t="e">
        <f t="shared" ref="BM966:BM1029" si="32">IF(OR(BL965="✔",BL966="✔"),#N/A,VLOOKUP(B965&amp;"*",B966,1,FALSE))</f>
        <v>#N/A</v>
      </c>
      <c r="BN966" t="b">
        <f t="shared" si="31"/>
        <v>1</v>
      </c>
    </row>
    <row r="967" spans="65:66" x14ac:dyDescent="0.3">
      <c r="BM967" t="e">
        <f t="shared" si="32"/>
        <v>#N/A</v>
      </c>
      <c r="BN967" t="b">
        <f t="shared" si="31"/>
        <v>1</v>
      </c>
    </row>
    <row r="968" spans="65:66" x14ac:dyDescent="0.3">
      <c r="BM968" t="e">
        <f t="shared" si="32"/>
        <v>#N/A</v>
      </c>
      <c r="BN968" t="b">
        <f t="shared" si="31"/>
        <v>1</v>
      </c>
    </row>
    <row r="969" spans="65:66" x14ac:dyDescent="0.3">
      <c r="BM969" t="e">
        <f t="shared" si="32"/>
        <v>#N/A</v>
      </c>
      <c r="BN969" t="b">
        <f t="shared" si="31"/>
        <v>1</v>
      </c>
    </row>
    <row r="970" spans="65:66" x14ac:dyDescent="0.3">
      <c r="BM970" t="e">
        <f t="shared" si="32"/>
        <v>#N/A</v>
      </c>
      <c r="BN970" t="b">
        <f t="shared" si="31"/>
        <v>1</v>
      </c>
    </row>
    <row r="971" spans="65:66" x14ac:dyDescent="0.3">
      <c r="BM971" t="e">
        <f t="shared" si="32"/>
        <v>#N/A</v>
      </c>
      <c r="BN971" t="b">
        <f t="shared" si="31"/>
        <v>1</v>
      </c>
    </row>
    <row r="972" spans="65:66" x14ac:dyDescent="0.3">
      <c r="BM972" t="e">
        <f t="shared" si="32"/>
        <v>#N/A</v>
      </c>
      <c r="BN972" t="b">
        <f t="shared" si="31"/>
        <v>1</v>
      </c>
    </row>
    <row r="973" spans="65:66" x14ac:dyDescent="0.3">
      <c r="BM973" t="e">
        <f t="shared" si="32"/>
        <v>#N/A</v>
      </c>
      <c r="BN973" t="b">
        <f t="shared" si="31"/>
        <v>1</v>
      </c>
    </row>
    <row r="974" spans="65:66" x14ac:dyDescent="0.3">
      <c r="BM974" t="e">
        <f t="shared" si="32"/>
        <v>#N/A</v>
      </c>
      <c r="BN974" t="b">
        <f t="shared" si="31"/>
        <v>1</v>
      </c>
    </row>
    <row r="975" spans="65:66" x14ac:dyDescent="0.3">
      <c r="BM975" t="e">
        <f t="shared" si="32"/>
        <v>#N/A</v>
      </c>
      <c r="BN975" t="b">
        <f t="shared" si="31"/>
        <v>1</v>
      </c>
    </row>
    <row r="976" spans="65:66" x14ac:dyDescent="0.3">
      <c r="BM976" t="e">
        <f t="shared" si="32"/>
        <v>#N/A</v>
      </c>
      <c r="BN976" t="b">
        <f t="shared" si="31"/>
        <v>1</v>
      </c>
    </row>
    <row r="977" spans="65:66" x14ac:dyDescent="0.3">
      <c r="BM977" t="e">
        <f t="shared" si="32"/>
        <v>#N/A</v>
      </c>
      <c r="BN977" t="b">
        <f t="shared" si="31"/>
        <v>1</v>
      </c>
    </row>
    <row r="978" spans="65:66" x14ac:dyDescent="0.3">
      <c r="BM978" t="e">
        <f t="shared" si="32"/>
        <v>#N/A</v>
      </c>
      <c r="BN978" t="b">
        <f t="shared" si="31"/>
        <v>1</v>
      </c>
    </row>
    <row r="979" spans="65:66" x14ac:dyDescent="0.3">
      <c r="BM979" t="e">
        <f t="shared" si="32"/>
        <v>#N/A</v>
      </c>
      <c r="BN979" t="b">
        <f t="shared" si="31"/>
        <v>1</v>
      </c>
    </row>
    <row r="980" spans="65:66" x14ac:dyDescent="0.3">
      <c r="BM980" t="e">
        <f t="shared" si="32"/>
        <v>#N/A</v>
      </c>
      <c r="BN980" t="b">
        <f t="shared" si="31"/>
        <v>1</v>
      </c>
    </row>
    <row r="981" spans="65:66" x14ac:dyDescent="0.3">
      <c r="BM981" t="e">
        <f t="shared" si="32"/>
        <v>#N/A</v>
      </c>
      <c r="BN981" t="b">
        <f t="shared" si="31"/>
        <v>1</v>
      </c>
    </row>
    <row r="982" spans="65:66" x14ac:dyDescent="0.3">
      <c r="BM982" t="e">
        <f t="shared" si="32"/>
        <v>#N/A</v>
      </c>
      <c r="BN982" t="b">
        <f t="shared" si="31"/>
        <v>1</v>
      </c>
    </row>
    <row r="983" spans="65:66" x14ac:dyDescent="0.3">
      <c r="BM983" t="e">
        <f t="shared" si="32"/>
        <v>#N/A</v>
      </c>
      <c r="BN983" t="b">
        <f t="shared" si="31"/>
        <v>1</v>
      </c>
    </row>
    <row r="984" spans="65:66" x14ac:dyDescent="0.3">
      <c r="BM984" t="e">
        <f t="shared" si="32"/>
        <v>#N/A</v>
      </c>
      <c r="BN984" t="b">
        <f t="shared" si="31"/>
        <v>1</v>
      </c>
    </row>
    <row r="985" spans="65:66" x14ac:dyDescent="0.3">
      <c r="BM985" t="e">
        <f t="shared" si="32"/>
        <v>#N/A</v>
      </c>
      <c r="BN985" t="b">
        <f t="shared" si="31"/>
        <v>1</v>
      </c>
    </row>
    <row r="986" spans="65:66" x14ac:dyDescent="0.3">
      <c r="BM986" t="e">
        <f t="shared" si="32"/>
        <v>#N/A</v>
      </c>
      <c r="BN986" t="b">
        <f t="shared" si="31"/>
        <v>1</v>
      </c>
    </row>
    <row r="987" spans="65:66" x14ac:dyDescent="0.3">
      <c r="BM987" t="e">
        <f t="shared" si="32"/>
        <v>#N/A</v>
      </c>
      <c r="BN987" t="b">
        <f t="shared" si="31"/>
        <v>1</v>
      </c>
    </row>
    <row r="988" spans="65:66" x14ac:dyDescent="0.3">
      <c r="BM988" t="e">
        <f t="shared" si="32"/>
        <v>#N/A</v>
      </c>
      <c r="BN988" t="b">
        <f t="shared" si="31"/>
        <v>1</v>
      </c>
    </row>
    <row r="989" spans="65:66" x14ac:dyDescent="0.3">
      <c r="BM989" t="e">
        <f t="shared" si="32"/>
        <v>#N/A</v>
      </c>
      <c r="BN989" t="b">
        <f t="shared" si="31"/>
        <v>1</v>
      </c>
    </row>
    <row r="990" spans="65:66" x14ac:dyDescent="0.3">
      <c r="BM990" t="e">
        <f t="shared" si="32"/>
        <v>#N/A</v>
      </c>
      <c r="BN990" t="b">
        <f t="shared" si="31"/>
        <v>1</v>
      </c>
    </row>
    <row r="991" spans="65:66" x14ac:dyDescent="0.3">
      <c r="BM991" t="e">
        <f t="shared" si="32"/>
        <v>#N/A</v>
      </c>
      <c r="BN991" t="b">
        <f t="shared" si="31"/>
        <v>1</v>
      </c>
    </row>
    <row r="992" spans="65:66" x14ac:dyDescent="0.3">
      <c r="BM992" t="e">
        <f t="shared" si="32"/>
        <v>#N/A</v>
      </c>
      <c r="BN992" t="b">
        <f t="shared" si="31"/>
        <v>1</v>
      </c>
    </row>
    <row r="993" spans="65:66" x14ac:dyDescent="0.3">
      <c r="BM993" t="e">
        <f t="shared" si="32"/>
        <v>#N/A</v>
      </c>
      <c r="BN993" t="b">
        <f t="shared" si="31"/>
        <v>1</v>
      </c>
    </row>
    <row r="994" spans="65:66" x14ac:dyDescent="0.3">
      <c r="BM994" t="e">
        <f t="shared" si="32"/>
        <v>#N/A</v>
      </c>
      <c r="BN994" t="b">
        <f t="shared" si="31"/>
        <v>1</v>
      </c>
    </row>
    <row r="995" spans="65:66" x14ac:dyDescent="0.3">
      <c r="BM995" t="e">
        <f t="shared" si="32"/>
        <v>#N/A</v>
      </c>
      <c r="BN995" t="b">
        <f t="shared" si="31"/>
        <v>1</v>
      </c>
    </row>
    <row r="996" spans="65:66" x14ac:dyDescent="0.3">
      <c r="BM996" t="e">
        <f t="shared" si="32"/>
        <v>#N/A</v>
      </c>
      <c r="BN996" t="b">
        <f t="shared" si="31"/>
        <v>1</v>
      </c>
    </row>
    <row r="997" spans="65:66" x14ac:dyDescent="0.3">
      <c r="BM997" t="e">
        <f t="shared" si="32"/>
        <v>#N/A</v>
      </c>
      <c r="BN997" t="b">
        <f t="shared" si="31"/>
        <v>1</v>
      </c>
    </row>
    <row r="998" spans="65:66" x14ac:dyDescent="0.3">
      <c r="BM998" t="e">
        <f t="shared" si="32"/>
        <v>#N/A</v>
      </c>
      <c r="BN998" t="b">
        <f t="shared" si="31"/>
        <v>1</v>
      </c>
    </row>
    <row r="999" spans="65:66" x14ac:dyDescent="0.3">
      <c r="BM999" t="e">
        <f t="shared" si="32"/>
        <v>#N/A</v>
      </c>
      <c r="BN999" t="b">
        <f t="shared" si="31"/>
        <v>1</v>
      </c>
    </row>
    <row r="1000" spans="65:66" x14ac:dyDescent="0.3">
      <c r="BM1000" t="e">
        <f t="shared" si="32"/>
        <v>#N/A</v>
      </c>
      <c r="BN1000" t="b">
        <f t="shared" si="31"/>
        <v>1</v>
      </c>
    </row>
    <row r="1001" spans="65:66" x14ac:dyDescent="0.3">
      <c r="BM1001" t="e">
        <f t="shared" si="32"/>
        <v>#N/A</v>
      </c>
      <c r="BN1001" t="b">
        <f t="shared" si="31"/>
        <v>1</v>
      </c>
    </row>
    <row r="1002" spans="65:66" x14ac:dyDescent="0.3">
      <c r="BM1002" t="e">
        <f t="shared" si="32"/>
        <v>#N/A</v>
      </c>
      <c r="BN1002" t="b">
        <f t="shared" si="31"/>
        <v>1</v>
      </c>
    </row>
    <row r="1003" spans="65:66" x14ac:dyDescent="0.3">
      <c r="BM1003" t="e">
        <f t="shared" si="32"/>
        <v>#N/A</v>
      </c>
      <c r="BN1003" t="b">
        <f t="shared" si="31"/>
        <v>1</v>
      </c>
    </row>
    <row r="1004" spans="65:66" x14ac:dyDescent="0.3">
      <c r="BM1004" t="e">
        <f t="shared" si="32"/>
        <v>#N/A</v>
      </c>
      <c r="BN1004" t="b">
        <f t="shared" si="31"/>
        <v>1</v>
      </c>
    </row>
    <row r="1005" spans="65:66" x14ac:dyDescent="0.3">
      <c r="BM1005" t="e">
        <f t="shared" si="32"/>
        <v>#N/A</v>
      </c>
      <c r="BN1005" t="b">
        <f t="shared" si="31"/>
        <v>1</v>
      </c>
    </row>
    <row r="1006" spans="65:66" x14ac:dyDescent="0.3">
      <c r="BM1006" t="e">
        <f t="shared" si="32"/>
        <v>#N/A</v>
      </c>
      <c r="BN1006" t="b">
        <f t="shared" si="31"/>
        <v>1</v>
      </c>
    </row>
    <row r="1007" spans="65:66" x14ac:dyDescent="0.3">
      <c r="BM1007" t="e">
        <f t="shared" si="32"/>
        <v>#N/A</v>
      </c>
      <c r="BN1007" t="b">
        <f t="shared" si="31"/>
        <v>1</v>
      </c>
    </row>
    <row r="1008" spans="65:66" x14ac:dyDescent="0.3">
      <c r="BM1008" t="e">
        <f t="shared" si="32"/>
        <v>#N/A</v>
      </c>
      <c r="BN1008" t="b">
        <f t="shared" si="31"/>
        <v>1</v>
      </c>
    </row>
    <row r="1009" spans="65:66" x14ac:dyDescent="0.3">
      <c r="BM1009" t="e">
        <f t="shared" si="32"/>
        <v>#N/A</v>
      </c>
      <c r="BN1009" t="b">
        <f t="shared" si="31"/>
        <v>1</v>
      </c>
    </row>
    <row r="1010" spans="65:66" x14ac:dyDescent="0.3">
      <c r="BM1010" t="e">
        <f t="shared" si="32"/>
        <v>#N/A</v>
      </c>
      <c r="BN1010" t="b">
        <f t="shared" si="31"/>
        <v>1</v>
      </c>
    </row>
    <row r="1011" spans="65:66" x14ac:dyDescent="0.3">
      <c r="BM1011" t="e">
        <f t="shared" si="32"/>
        <v>#N/A</v>
      </c>
      <c r="BN1011" t="b">
        <f t="shared" si="31"/>
        <v>1</v>
      </c>
    </row>
    <row r="1012" spans="65:66" x14ac:dyDescent="0.3">
      <c r="BM1012" t="e">
        <f t="shared" si="32"/>
        <v>#N/A</v>
      </c>
      <c r="BN1012" t="b">
        <f t="shared" si="31"/>
        <v>1</v>
      </c>
    </row>
    <row r="1013" spans="65:66" x14ac:dyDescent="0.3">
      <c r="BM1013" t="e">
        <f t="shared" si="32"/>
        <v>#N/A</v>
      </c>
      <c r="BN1013" t="b">
        <f t="shared" si="31"/>
        <v>1</v>
      </c>
    </row>
    <row r="1014" spans="65:66" x14ac:dyDescent="0.3">
      <c r="BM1014" t="e">
        <f t="shared" si="32"/>
        <v>#N/A</v>
      </c>
      <c r="BN1014" t="b">
        <f t="shared" si="31"/>
        <v>1</v>
      </c>
    </row>
    <row r="1015" spans="65:66" x14ac:dyDescent="0.3">
      <c r="BM1015" t="e">
        <f t="shared" si="32"/>
        <v>#N/A</v>
      </c>
      <c r="BN1015" t="b">
        <f t="shared" si="31"/>
        <v>1</v>
      </c>
    </row>
    <row r="1016" spans="65:66" x14ac:dyDescent="0.3">
      <c r="BM1016" t="e">
        <f t="shared" si="32"/>
        <v>#N/A</v>
      </c>
      <c r="BN1016" t="b">
        <f t="shared" si="31"/>
        <v>1</v>
      </c>
    </row>
    <row r="1017" spans="65:66" x14ac:dyDescent="0.3">
      <c r="BM1017" t="e">
        <f t="shared" si="32"/>
        <v>#N/A</v>
      </c>
      <c r="BN1017" t="b">
        <f t="shared" si="31"/>
        <v>1</v>
      </c>
    </row>
    <row r="1018" spans="65:66" x14ac:dyDescent="0.3">
      <c r="BM1018" t="e">
        <f t="shared" si="32"/>
        <v>#N/A</v>
      </c>
      <c r="BN1018" t="b">
        <f t="shared" si="31"/>
        <v>1</v>
      </c>
    </row>
    <row r="1019" spans="65:66" x14ac:dyDescent="0.3">
      <c r="BM1019" t="e">
        <f t="shared" si="32"/>
        <v>#N/A</v>
      </c>
      <c r="BN1019" t="b">
        <f t="shared" si="31"/>
        <v>1</v>
      </c>
    </row>
    <row r="1020" spans="65:66" x14ac:dyDescent="0.3">
      <c r="BM1020" t="e">
        <f t="shared" si="32"/>
        <v>#N/A</v>
      </c>
      <c r="BN1020" t="b">
        <f t="shared" si="31"/>
        <v>1</v>
      </c>
    </row>
    <row r="1021" spans="65:66" x14ac:dyDescent="0.3">
      <c r="BM1021" t="e">
        <f t="shared" si="32"/>
        <v>#N/A</v>
      </c>
      <c r="BN1021" t="b">
        <f t="shared" si="31"/>
        <v>1</v>
      </c>
    </row>
    <row r="1022" spans="65:66" x14ac:dyDescent="0.3">
      <c r="BM1022" t="e">
        <f t="shared" si="32"/>
        <v>#N/A</v>
      </c>
      <c r="BN1022" t="b">
        <f t="shared" si="31"/>
        <v>1</v>
      </c>
    </row>
    <row r="1023" spans="65:66" x14ac:dyDescent="0.3">
      <c r="BM1023" t="e">
        <f t="shared" si="32"/>
        <v>#N/A</v>
      </c>
      <c r="BN1023" t="b">
        <f t="shared" si="31"/>
        <v>1</v>
      </c>
    </row>
    <row r="1024" spans="65:66" x14ac:dyDescent="0.3">
      <c r="BM1024" t="e">
        <f t="shared" si="32"/>
        <v>#N/A</v>
      </c>
      <c r="BN1024" t="b">
        <f t="shared" si="31"/>
        <v>1</v>
      </c>
    </row>
    <row r="1025" spans="65:66" x14ac:dyDescent="0.3">
      <c r="BM1025" t="e">
        <f t="shared" si="32"/>
        <v>#N/A</v>
      </c>
      <c r="BN1025" t="b">
        <f t="shared" si="31"/>
        <v>1</v>
      </c>
    </row>
    <row r="1026" spans="65:66" x14ac:dyDescent="0.3">
      <c r="BM1026" t="e">
        <f t="shared" si="32"/>
        <v>#N/A</v>
      </c>
      <c r="BN1026" t="b">
        <f t="shared" si="31"/>
        <v>1</v>
      </c>
    </row>
    <row r="1027" spans="65:66" x14ac:dyDescent="0.3">
      <c r="BM1027" t="e">
        <f t="shared" si="32"/>
        <v>#N/A</v>
      </c>
      <c r="BN1027" t="b">
        <f t="shared" ref="BN1027:BN1090" si="33">IF(OR(ISNA(BM1027)=FALSE,ISNA(BM1028)=FALSE),FALSE,TRUE)</f>
        <v>1</v>
      </c>
    </row>
    <row r="1028" spans="65:66" x14ac:dyDescent="0.3">
      <c r="BM1028" t="e">
        <f t="shared" si="32"/>
        <v>#N/A</v>
      </c>
      <c r="BN1028" t="b">
        <f t="shared" si="33"/>
        <v>1</v>
      </c>
    </row>
    <row r="1029" spans="65:66" x14ac:dyDescent="0.3">
      <c r="BM1029" t="e">
        <f t="shared" si="32"/>
        <v>#N/A</v>
      </c>
      <c r="BN1029" t="b">
        <f t="shared" si="33"/>
        <v>1</v>
      </c>
    </row>
    <row r="1030" spans="65:66" x14ac:dyDescent="0.3">
      <c r="BM1030" t="e">
        <f t="shared" ref="BM1030:BM1093" si="34">IF(OR(BL1029="✔",BL1030="✔"),#N/A,VLOOKUP(B1029&amp;"*",B1030,1,FALSE))</f>
        <v>#N/A</v>
      </c>
      <c r="BN1030" t="b">
        <f t="shared" si="33"/>
        <v>1</v>
      </c>
    </row>
    <row r="1031" spans="65:66" x14ac:dyDescent="0.3">
      <c r="BM1031" t="e">
        <f t="shared" si="34"/>
        <v>#N/A</v>
      </c>
      <c r="BN1031" t="b">
        <f t="shared" si="33"/>
        <v>1</v>
      </c>
    </row>
    <row r="1032" spans="65:66" x14ac:dyDescent="0.3">
      <c r="BM1032" t="e">
        <f t="shared" si="34"/>
        <v>#N/A</v>
      </c>
      <c r="BN1032" t="b">
        <f t="shared" si="33"/>
        <v>1</v>
      </c>
    </row>
    <row r="1033" spans="65:66" x14ac:dyDescent="0.3">
      <c r="BM1033" t="e">
        <f t="shared" si="34"/>
        <v>#N/A</v>
      </c>
      <c r="BN1033" t="b">
        <f t="shared" si="33"/>
        <v>1</v>
      </c>
    </row>
    <row r="1034" spans="65:66" x14ac:dyDescent="0.3">
      <c r="BM1034" t="e">
        <f t="shared" si="34"/>
        <v>#N/A</v>
      </c>
      <c r="BN1034" t="b">
        <f t="shared" si="33"/>
        <v>1</v>
      </c>
    </row>
    <row r="1035" spans="65:66" x14ac:dyDescent="0.3">
      <c r="BM1035" t="e">
        <f t="shared" si="34"/>
        <v>#N/A</v>
      </c>
      <c r="BN1035" t="b">
        <f t="shared" si="33"/>
        <v>1</v>
      </c>
    </row>
    <row r="1036" spans="65:66" x14ac:dyDescent="0.3">
      <c r="BM1036" t="e">
        <f t="shared" si="34"/>
        <v>#N/A</v>
      </c>
      <c r="BN1036" t="b">
        <f t="shared" si="33"/>
        <v>1</v>
      </c>
    </row>
    <row r="1037" spans="65:66" x14ac:dyDescent="0.3">
      <c r="BM1037" t="e">
        <f t="shared" si="34"/>
        <v>#N/A</v>
      </c>
      <c r="BN1037" t="b">
        <f t="shared" si="33"/>
        <v>1</v>
      </c>
    </row>
    <row r="1038" spans="65:66" x14ac:dyDescent="0.3">
      <c r="BM1038" t="e">
        <f t="shared" si="34"/>
        <v>#N/A</v>
      </c>
      <c r="BN1038" t="b">
        <f t="shared" si="33"/>
        <v>1</v>
      </c>
    </row>
    <row r="1039" spans="65:66" x14ac:dyDescent="0.3">
      <c r="BM1039" t="e">
        <f t="shared" si="34"/>
        <v>#N/A</v>
      </c>
      <c r="BN1039" t="b">
        <f t="shared" si="33"/>
        <v>1</v>
      </c>
    </row>
    <row r="1040" spans="65:66" x14ac:dyDescent="0.3">
      <c r="BM1040" t="e">
        <f t="shared" si="34"/>
        <v>#N/A</v>
      </c>
      <c r="BN1040" t="b">
        <f t="shared" si="33"/>
        <v>1</v>
      </c>
    </row>
    <row r="1041" spans="65:66" x14ac:dyDescent="0.3">
      <c r="BM1041" t="e">
        <f t="shared" si="34"/>
        <v>#N/A</v>
      </c>
      <c r="BN1041" t="b">
        <f t="shared" si="33"/>
        <v>1</v>
      </c>
    </row>
    <row r="1042" spans="65:66" x14ac:dyDescent="0.3">
      <c r="BM1042" t="e">
        <f t="shared" si="34"/>
        <v>#N/A</v>
      </c>
      <c r="BN1042" t="b">
        <f t="shared" si="33"/>
        <v>1</v>
      </c>
    </row>
    <row r="1043" spans="65:66" x14ac:dyDescent="0.3">
      <c r="BM1043" t="e">
        <f t="shared" si="34"/>
        <v>#N/A</v>
      </c>
      <c r="BN1043" t="b">
        <f t="shared" si="33"/>
        <v>1</v>
      </c>
    </row>
    <row r="1044" spans="65:66" x14ac:dyDescent="0.3">
      <c r="BM1044" t="e">
        <f t="shared" si="34"/>
        <v>#N/A</v>
      </c>
      <c r="BN1044" t="b">
        <f t="shared" si="33"/>
        <v>1</v>
      </c>
    </row>
    <row r="1045" spans="65:66" x14ac:dyDescent="0.3">
      <c r="BM1045" t="e">
        <f t="shared" si="34"/>
        <v>#N/A</v>
      </c>
      <c r="BN1045" t="b">
        <f t="shared" si="33"/>
        <v>1</v>
      </c>
    </row>
    <row r="1046" spans="65:66" x14ac:dyDescent="0.3">
      <c r="BM1046" t="e">
        <f t="shared" si="34"/>
        <v>#N/A</v>
      </c>
      <c r="BN1046" t="b">
        <f t="shared" si="33"/>
        <v>1</v>
      </c>
    </row>
    <row r="1047" spans="65:66" x14ac:dyDescent="0.3">
      <c r="BM1047" t="e">
        <f t="shared" si="34"/>
        <v>#N/A</v>
      </c>
      <c r="BN1047" t="b">
        <f t="shared" si="33"/>
        <v>1</v>
      </c>
    </row>
    <row r="1048" spans="65:66" x14ac:dyDescent="0.3">
      <c r="BM1048" t="e">
        <f t="shared" si="34"/>
        <v>#N/A</v>
      </c>
      <c r="BN1048" t="b">
        <f t="shared" si="33"/>
        <v>1</v>
      </c>
    </row>
    <row r="1049" spans="65:66" x14ac:dyDescent="0.3">
      <c r="BM1049" t="e">
        <f t="shared" si="34"/>
        <v>#N/A</v>
      </c>
      <c r="BN1049" t="b">
        <f t="shared" si="33"/>
        <v>1</v>
      </c>
    </row>
    <row r="1050" spans="65:66" x14ac:dyDescent="0.3">
      <c r="BM1050" t="e">
        <f t="shared" si="34"/>
        <v>#N/A</v>
      </c>
      <c r="BN1050" t="b">
        <f t="shared" si="33"/>
        <v>1</v>
      </c>
    </row>
    <row r="1051" spans="65:66" x14ac:dyDescent="0.3">
      <c r="BM1051" t="e">
        <f t="shared" si="34"/>
        <v>#N/A</v>
      </c>
      <c r="BN1051" t="b">
        <f t="shared" si="33"/>
        <v>1</v>
      </c>
    </row>
    <row r="1052" spans="65:66" x14ac:dyDescent="0.3">
      <c r="BM1052" t="e">
        <f t="shared" si="34"/>
        <v>#N/A</v>
      </c>
      <c r="BN1052" t="b">
        <f t="shared" si="33"/>
        <v>1</v>
      </c>
    </row>
    <row r="1053" spans="65:66" x14ac:dyDescent="0.3">
      <c r="BM1053" t="e">
        <f t="shared" si="34"/>
        <v>#N/A</v>
      </c>
      <c r="BN1053" t="b">
        <f t="shared" si="33"/>
        <v>1</v>
      </c>
    </row>
    <row r="1054" spans="65:66" x14ac:dyDescent="0.3">
      <c r="BM1054" t="e">
        <f t="shared" si="34"/>
        <v>#N/A</v>
      </c>
      <c r="BN1054" t="b">
        <f t="shared" si="33"/>
        <v>1</v>
      </c>
    </row>
    <row r="1055" spans="65:66" x14ac:dyDescent="0.3">
      <c r="BM1055" t="e">
        <f t="shared" si="34"/>
        <v>#N/A</v>
      </c>
      <c r="BN1055" t="b">
        <f t="shared" si="33"/>
        <v>1</v>
      </c>
    </row>
    <row r="1056" spans="65:66" x14ac:dyDescent="0.3">
      <c r="BM1056" t="e">
        <f t="shared" si="34"/>
        <v>#N/A</v>
      </c>
      <c r="BN1056" t="b">
        <f t="shared" si="33"/>
        <v>1</v>
      </c>
    </row>
    <row r="1057" spans="65:66" x14ac:dyDescent="0.3">
      <c r="BM1057" t="e">
        <f t="shared" si="34"/>
        <v>#N/A</v>
      </c>
      <c r="BN1057" t="b">
        <f t="shared" si="33"/>
        <v>1</v>
      </c>
    </row>
    <row r="1058" spans="65:66" x14ac:dyDescent="0.3">
      <c r="BM1058" t="e">
        <f t="shared" si="34"/>
        <v>#N/A</v>
      </c>
      <c r="BN1058" t="b">
        <f t="shared" si="33"/>
        <v>1</v>
      </c>
    </row>
    <row r="1059" spans="65:66" x14ac:dyDescent="0.3">
      <c r="BM1059" t="e">
        <f t="shared" si="34"/>
        <v>#N/A</v>
      </c>
      <c r="BN1059" t="b">
        <f t="shared" si="33"/>
        <v>1</v>
      </c>
    </row>
    <row r="1060" spans="65:66" x14ac:dyDescent="0.3">
      <c r="BM1060" t="e">
        <f t="shared" si="34"/>
        <v>#N/A</v>
      </c>
      <c r="BN1060" t="b">
        <f t="shared" si="33"/>
        <v>1</v>
      </c>
    </row>
    <row r="1061" spans="65:66" x14ac:dyDescent="0.3">
      <c r="BM1061" t="e">
        <f t="shared" si="34"/>
        <v>#N/A</v>
      </c>
      <c r="BN1061" t="b">
        <f t="shared" si="33"/>
        <v>1</v>
      </c>
    </row>
    <row r="1062" spans="65:66" x14ac:dyDescent="0.3">
      <c r="BM1062" t="e">
        <f t="shared" si="34"/>
        <v>#N/A</v>
      </c>
      <c r="BN1062" t="b">
        <f t="shared" si="33"/>
        <v>1</v>
      </c>
    </row>
    <row r="1063" spans="65:66" x14ac:dyDescent="0.3">
      <c r="BM1063" t="e">
        <f t="shared" si="34"/>
        <v>#N/A</v>
      </c>
      <c r="BN1063" t="b">
        <f t="shared" si="33"/>
        <v>1</v>
      </c>
    </row>
    <row r="1064" spans="65:66" x14ac:dyDescent="0.3">
      <c r="BM1064" t="e">
        <f t="shared" si="34"/>
        <v>#N/A</v>
      </c>
      <c r="BN1064" t="b">
        <f t="shared" si="33"/>
        <v>1</v>
      </c>
    </row>
    <row r="1065" spans="65:66" x14ac:dyDescent="0.3">
      <c r="BM1065" t="e">
        <f t="shared" si="34"/>
        <v>#N/A</v>
      </c>
      <c r="BN1065" t="b">
        <f t="shared" si="33"/>
        <v>1</v>
      </c>
    </row>
    <row r="1066" spans="65:66" x14ac:dyDescent="0.3">
      <c r="BM1066" t="e">
        <f t="shared" si="34"/>
        <v>#N/A</v>
      </c>
      <c r="BN1066" t="b">
        <f t="shared" si="33"/>
        <v>1</v>
      </c>
    </row>
    <row r="1067" spans="65:66" x14ac:dyDescent="0.3">
      <c r="BM1067" t="e">
        <f t="shared" si="34"/>
        <v>#N/A</v>
      </c>
      <c r="BN1067" t="b">
        <f t="shared" si="33"/>
        <v>1</v>
      </c>
    </row>
    <row r="1068" spans="65:66" x14ac:dyDescent="0.3">
      <c r="BM1068" t="e">
        <f t="shared" si="34"/>
        <v>#N/A</v>
      </c>
      <c r="BN1068" t="b">
        <f t="shared" si="33"/>
        <v>1</v>
      </c>
    </row>
    <row r="1069" spans="65:66" x14ac:dyDescent="0.3">
      <c r="BM1069" t="e">
        <f t="shared" si="34"/>
        <v>#N/A</v>
      </c>
      <c r="BN1069" t="b">
        <f t="shared" si="33"/>
        <v>1</v>
      </c>
    </row>
    <row r="1070" spans="65:66" x14ac:dyDescent="0.3">
      <c r="BM1070" t="e">
        <f t="shared" si="34"/>
        <v>#N/A</v>
      </c>
      <c r="BN1070" t="b">
        <f t="shared" si="33"/>
        <v>1</v>
      </c>
    </row>
    <row r="1071" spans="65:66" x14ac:dyDescent="0.3">
      <c r="BM1071" t="e">
        <f t="shared" si="34"/>
        <v>#N/A</v>
      </c>
      <c r="BN1071" t="b">
        <f t="shared" si="33"/>
        <v>1</v>
      </c>
    </row>
    <row r="1072" spans="65:66" x14ac:dyDescent="0.3">
      <c r="BM1072" t="e">
        <f t="shared" si="34"/>
        <v>#N/A</v>
      </c>
      <c r="BN1072" t="b">
        <f t="shared" si="33"/>
        <v>1</v>
      </c>
    </row>
    <row r="1073" spans="65:66" x14ac:dyDescent="0.3">
      <c r="BM1073" t="e">
        <f t="shared" si="34"/>
        <v>#N/A</v>
      </c>
      <c r="BN1073" t="b">
        <f t="shared" si="33"/>
        <v>1</v>
      </c>
    </row>
    <row r="1074" spans="65:66" x14ac:dyDescent="0.3">
      <c r="BM1074" t="e">
        <f t="shared" si="34"/>
        <v>#N/A</v>
      </c>
      <c r="BN1074" t="b">
        <f t="shared" si="33"/>
        <v>1</v>
      </c>
    </row>
    <row r="1075" spans="65:66" x14ac:dyDescent="0.3">
      <c r="BM1075" t="e">
        <f t="shared" si="34"/>
        <v>#N/A</v>
      </c>
      <c r="BN1075" t="b">
        <f t="shared" si="33"/>
        <v>1</v>
      </c>
    </row>
    <row r="1076" spans="65:66" x14ac:dyDescent="0.3">
      <c r="BM1076" t="e">
        <f t="shared" si="34"/>
        <v>#N/A</v>
      </c>
      <c r="BN1076" t="b">
        <f t="shared" si="33"/>
        <v>1</v>
      </c>
    </row>
    <row r="1077" spans="65:66" x14ac:dyDescent="0.3">
      <c r="BM1077" t="e">
        <f t="shared" si="34"/>
        <v>#N/A</v>
      </c>
      <c r="BN1077" t="b">
        <f t="shared" si="33"/>
        <v>1</v>
      </c>
    </row>
    <row r="1078" spans="65:66" x14ac:dyDescent="0.3">
      <c r="BM1078" t="e">
        <f t="shared" si="34"/>
        <v>#N/A</v>
      </c>
      <c r="BN1078" t="b">
        <f t="shared" si="33"/>
        <v>1</v>
      </c>
    </row>
    <row r="1079" spans="65:66" x14ac:dyDescent="0.3">
      <c r="BM1079" t="e">
        <f t="shared" si="34"/>
        <v>#N/A</v>
      </c>
      <c r="BN1079" t="b">
        <f t="shared" si="33"/>
        <v>1</v>
      </c>
    </row>
    <row r="1080" spans="65:66" x14ac:dyDescent="0.3">
      <c r="BM1080" t="e">
        <f t="shared" si="34"/>
        <v>#N/A</v>
      </c>
      <c r="BN1080" t="b">
        <f t="shared" si="33"/>
        <v>1</v>
      </c>
    </row>
    <row r="1081" spans="65:66" x14ac:dyDescent="0.3">
      <c r="BM1081" t="e">
        <f t="shared" si="34"/>
        <v>#N/A</v>
      </c>
      <c r="BN1081" t="b">
        <f t="shared" si="33"/>
        <v>1</v>
      </c>
    </row>
    <row r="1082" spans="65:66" x14ac:dyDescent="0.3">
      <c r="BM1082" t="e">
        <f t="shared" si="34"/>
        <v>#N/A</v>
      </c>
      <c r="BN1082" t="b">
        <f t="shared" si="33"/>
        <v>1</v>
      </c>
    </row>
    <row r="1083" spans="65:66" x14ac:dyDescent="0.3">
      <c r="BM1083" t="e">
        <f t="shared" si="34"/>
        <v>#N/A</v>
      </c>
      <c r="BN1083" t="b">
        <f t="shared" si="33"/>
        <v>1</v>
      </c>
    </row>
    <row r="1084" spans="65:66" x14ac:dyDescent="0.3">
      <c r="BM1084" t="e">
        <f t="shared" si="34"/>
        <v>#N/A</v>
      </c>
      <c r="BN1084" t="b">
        <f t="shared" si="33"/>
        <v>1</v>
      </c>
    </row>
    <row r="1085" spans="65:66" x14ac:dyDescent="0.3">
      <c r="BM1085" t="e">
        <f t="shared" si="34"/>
        <v>#N/A</v>
      </c>
      <c r="BN1085" t="b">
        <f t="shared" si="33"/>
        <v>1</v>
      </c>
    </row>
    <row r="1086" spans="65:66" x14ac:dyDescent="0.3">
      <c r="BM1086" t="e">
        <f t="shared" si="34"/>
        <v>#N/A</v>
      </c>
      <c r="BN1086" t="b">
        <f t="shared" si="33"/>
        <v>1</v>
      </c>
    </row>
    <row r="1087" spans="65:66" x14ac:dyDescent="0.3">
      <c r="BM1087" t="e">
        <f t="shared" si="34"/>
        <v>#N/A</v>
      </c>
      <c r="BN1087" t="b">
        <f t="shared" si="33"/>
        <v>1</v>
      </c>
    </row>
    <row r="1088" spans="65:66" x14ac:dyDescent="0.3">
      <c r="BM1088" t="e">
        <f t="shared" si="34"/>
        <v>#N/A</v>
      </c>
      <c r="BN1088" t="b">
        <f t="shared" si="33"/>
        <v>1</v>
      </c>
    </row>
    <row r="1089" spans="65:66" x14ac:dyDescent="0.3">
      <c r="BM1089" t="e">
        <f t="shared" si="34"/>
        <v>#N/A</v>
      </c>
      <c r="BN1089" t="b">
        <f t="shared" si="33"/>
        <v>1</v>
      </c>
    </row>
    <row r="1090" spans="65:66" x14ac:dyDescent="0.3">
      <c r="BM1090" t="e">
        <f t="shared" si="34"/>
        <v>#N/A</v>
      </c>
      <c r="BN1090" t="b">
        <f t="shared" si="33"/>
        <v>1</v>
      </c>
    </row>
    <row r="1091" spans="65:66" x14ac:dyDescent="0.3">
      <c r="BM1091" t="e">
        <f t="shared" si="34"/>
        <v>#N/A</v>
      </c>
      <c r="BN1091" t="b">
        <f t="shared" ref="BN1091:BN1101" si="35">IF(OR(ISNA(BM1091)=FALSE,ISNA(BM1092)=FALSE),FALSE,TRUE)</f>
        <v>1</v>
      </c>
    </row>
    <row r="1092" spans="65:66" x14ac:dyDescent="0.3">
      <c r="BM1092" t="e">
        <f t="shared" si="34"/>
        <v>#N/A</v>
      </c>
      <c r="BN1092" t="b">
        <f t="shared" si="35"/>
        <v>1</v>
      </c>
    </row>
    <row r="1093" spans="65:66" x14ac:dyDescent="0.3">
      <c r="BM1093" t="e">
        <f t="shared" si="34"/>
        <v>#N/A</v>
      </c>
      <c r="BN1093" t="b">
        <f t="shared" si="35"/>
        <v>1</v>
      </c>
    </row>
    <row r="1094" spans="65:66" x14ac:dyDescent="0.3">
      <c r="BM1094" t="e">
        <f t="shared" ref="BM1094:BM1101" si="36">IF(OR(BL1093="✔",BL1094="✔"),#N/A,VLOOKUP(B1093&amp;"*",B1094,1,FALSE))</f>
        <v>#N/A</v>
      </c>
      <c r="BN1094" t="b">
        <f t="shared" si="35"/>
        <v>1</v>
      </c>
    </row>
    <row r="1095" spans="65:66" x14ac:dyDescent="0.3">
      <c r="BM1095" t="e">
        <f t="shared" si="36"/>
        <v>#N/A</v>
      </c>
      <c r="BN1095" t="b">
        <f t="shared" si="35"/>
        <v>1</v>
      </c>
    </row>
    <row r="1096" spans="65:66" x14ac:dyDescent="0.3">
      <c r="BM1096" t="e">
        <f t="shared" si="36"/>
        <v>#N/A</v>
      </c>
      <c r="BN1096" t="b">
        <f t="shared" si="35"/>
        <v>1</v>
      </c>
    </row>
    <row r="1097" spans="65:66" x14ac:dyDescent="0.3">
      <c r="BM1097" t="e">
        <f t="shared" si="36"/>
        <v>#N/A</v>
      </c>
      <c r="BN1097" t="b">
        <f t="shared" si="35"/>
        <v>1</v>
      </c>
    </row>
    <row r="1098" spans="65:66" x14ac:dyDescent="0.3">
      <c r="BM1098" t="e">
        <f t="shared" si="36"/>
        <v>#N/A</v>
      </c>
      <c r="BN1098" t="b">
        <f t="shared" si="35"/>
        <v>1</v>
      </c>
    </row>
    <row r="1099" spans="65:66" x14ac:dyDescent="0.3">
      <c r="BM1099" t="e">
        <f t="shared" si="36"/>
        <v>#N/A</v>
      </c>
      <c r="BN1099" t="b">
        <f t="shared" si="35"/>
        <v>1</v>
      </c>
    </row>
    <row r="1100" spans="65:66" x14ac:dyDescent="0.3">
      <c r="BM1100" t="e">
        <f t="shared" si="36"/>
        <v>#N/A</v>
      </c>
      <c r="BN1100" t="b">
        <f t="shared" si="35"/>
        <v>1</v>
      </c>
    </row>
    <row r="1101" spans="65:66" x14ac:dyDescent="0.3">
      <c r="BM1101" t="e">
        <f t="shared" si="36"/>
        <v>#N/A</v>
      </c>
      <c r="BN1101" t="b">
        <f t="shared" si="35"/>
        <v>0</v>
      </c>
    </row>
  </sheetData>
  <phoneticPr fontId="13"/>
  <conditionalFormatting sqref="BN1102:BN1048576">
    <cfRule type="cellIs" dxfId="2" priority="3" operator="equal">
      <formula>FALSE</formula>
    </cfRule>
  </conditionalFormatting>
  <conditionalFormatting sqref="BP4">
    <cfRule type="cellIs" dxfId="1" priority="2" operator="equal">
      <formula>"URL部分重複あり"</formula>
    </cfRule>
  </conditionalFormatting>
  <conditionalFormatting sqref="BN2:BN1101">
    <cfRule type="cellIs" dxfId="0" priority="1" operator="equal">
      <formula>FALSE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51D3D4E928CDE46BB90AAB0244DB2B2" ma:contentTypeVersion="11" ma:contentTypeDescription="Create a new document." ma:contentTypeScope="" ma:versionID="1a8cab4d6727b2419846a9e294e88636">
  <xsd:schema xmlns:xsd="http://www.w3.org/2001/XMLSchema" xmlns:xs="http://www.w3.org/2001/XMLSchema" xmlns:p="http://schemas.microsoft.com/office/2006/metadata/properties" xmlns:ns2="b021aa2a-e674-4875-adcc-f4d58f7e16e7" xmlns:ns3="c27928a4-76ea-4621-806e-89373b0919ca" targetNamespace="http://schemas.microsoft.com/office/2006/metadata/properties" ma:root="true" ma:fieldsID="a108665c1ae4a4ee0691f34e3df1d44d" ns2:_="" ns3:_="">
    <xsd:import namespace="b021aa2a-e674-4875-adcc-f4d58f7e16e7"/>
    <xsd:import namespace="c27928a4-76ea-4621-806e-89373b0919c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EventHashCode" minOccurs="0"/>
                <xsd:element ref="ns2:MediaServiceGenerationTime" minOccurs="0"/>
                <xsd:element ref="ns2:MediaServiceAutoTags" minOccurs="0"/>
                <xsd:element ref="ns2:MediaServiceOCR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021aa2a-e674-4875-adcc-f4d58f7e16e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EventHashCode" ma:index="1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7928a4-76ea-4621-806e-89373b0919ca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7E9427C-0703-47C8-AC56-9598EAC4AA29}">
  <ds:schemaRefs>
    <ds:schemaRef ds:uri="c27928a4-76ea-4621-806e-89373b0919ca"/>
    <ds:schemaRef ds:uri="http://purl.org/dc/elements/1.1/"/>
    <ds:schemaRef ds:uri="http://schemas.microsoft.com/office/2006/documentManagement/types"/>
    <ds:schemaRef ds:uri="http://schemas.microsoft.com/office/2006/metadata/properties"/>
    <ds:schemaRef ds:uri="http://purl.org/dc/dcmitype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b021aa2a-e674-4875-adcc-f4d58f7e16e7"/>
    <ds:schemaRef ds:uri="http://purl.org/dc/terms/"/>
  </ds:schemaRefs>
</ds:datastoreItem>
</file>

<file path=customXml/itemProps2.xml><?xml version="1.0" encoding="utf-8"?>
<ds:datastoreItem xmlns:ds="http://schemas.openxmlformats.org/officeDocument/2006/customXml" ds:itemID="{481A5BD3-FD56-4879-8941-2B3A4D2D85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021aa2a-e674-4875-adcc-f4d58f7e16e7"/>
    <ds:schemaRef ds:uri="c27928a4-76ea-4621-806e-89373b0919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67F9842-15B5-409C-B2ED-A49F1A2BD2D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API Managing Sheet</vt:lpstr>
      <vt:lpstr>Container Service</vt:lpstr>
      <vt:lpstr>Config</vt:lpstr>
      <vt:lpstr>URL部分重複チェック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Haida, Kenji</dc:creator>
  <cp:keywords>SecrecyB; A.01.0010; HM</cp:keywords>
  <dc:description/>
  <cp:lastModifiedBy>LEI XU (徐 磊 GE)</cp:lastModifiedBy>
  <cp:revision/>
  <dcterms:created xsi:type="dcterms:W3CDTF">2020-08-25T09:41:31Z</dcterms:created>
  <dcterms:modified xsi:type="dcterms:W3CDTF">2024-12-11T00:42:25Z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0x010100351D3D4E928CDE46BB90AAB0244DB2B2</vt:lpwstr>
  </property>
  <property fmtid="{D5CDD505-2E9C-101B-9397-08002B2CF9AE}" pid="3" name="MSIP_Label_a7295cc1-d279-42ac-ab4d-3b0f4fece050_Enabled">
    <vt:lpwstr>true</vt:lpwstr>
  </property>
  <property fmtid="{D5CDD505-2E9C-101B-9397-08002B2CF9AE}" pid="4" name="MSIP_Label_a7295cc1-d279-42ac-ab4d-3b0f4fece050_SetDate">
    <vt:lpwstr>2022-02-16T11:59:58Z</vt:lpwstr>
  </property>
  <property fmtid="{D5CDD505-2E9C-101B-9397-08002B2CF9AE}" pid="5" name="MSIP_Label_a7295cc1-d279-42ac-ab4d-3b0f4fece050_Method">
    <vt:lpwstr>Standard</vt:lpwstr>
  </property>
  <property fmtid="{D5CDD505-2E9C-101B-9397-08002B2CF9AE}" pid="6" name="MSIP_Label_a7295cc1-d279-42ac-ab4d-3b0f4fece050_Name">
    <vt:lpwstr>FUJITSU-RESTRICTED​</vt:lpwstr>
  </property>
  <property fmtid="{D5CDD505-2E9C-101B-9397-08002B2CF9AE}" pid="7" name="MSIP_Label_a7295cc1-d279-42ac-ab4d-3b0f4fece050_SiteId">
    <vt:lpwstr>a19f121d-81e1-4858-a9d8-736e267fd4c7</vt:lpwstr>
  </property>
  <property fmtid="{D5CDD505-2E9C-101B-9397-08002B2CF9AE}" pid="8" name="MSIP_Label_a7295cc1-d279-42ac-ab4d-3b0f4fece050_ActionId">
    <vt:lpwstr>90a887d6-40d4-4c55-8eaa-2aba3da56e66</vt:lpwstr>
  </property>
  <property fmtid="{D5CDD505-2E9C-101B-9397-08002B2CF9AE}" pid="9" name="MSIP_Label_a7295cc1-d279-42ac-ab4d-3b0f4fece050_ContentBits">
    <vt:lpwstr>0</vt:lpwstr>
  </property>
</Properties>
</file>